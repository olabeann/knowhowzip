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6b4190949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 대시보드" sheetId="1" r:id="R8962815724054958"/>
    <x:sheet xmlns:r="http://schemas.openxmlformats.org/officeDocument/2006/relationships" name="QA 케이스" sheetId="2" r:id="Rf490e72afda94c29"/>
    <x:sheet xmlns:r="http://schemas.openxmlformats.org/officeDocument/2006/relationships" name="사용자 역할" sheetId="3" r:id="Rd3b559d80b8a4afa"/>
    <x:sheet xmlns:r="http://schemas.openxmlformats.org/officeDocument/2006/relationships" name="테스트 데이터" sheetId="4" r:id="R225e31ef8b9441d3"/>
    <x:sheet xmlns:r="http://schemas.openxmlformats.org/officeDocument/2006/relationships" name="결함 리포트" sheetId="5" r:id="R4f867a96e2fd47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172033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sz val="11"/>
      <x:color rgb="FF172033"/>
      <x:name val="Carlito"/>
    </x:font>
    <x:font>
      <x:b/>
      <x:sz val="11"/>
      <x:color rgb="FF172033"/>
      <x:name val="Carlito"/>
    </x:font>
    <x:font>
      <x:b/>
      <x:sz val="11"/>
      <x:color rgb="FFFFFFFF"/>
      <x:name val="Carlito"/>
    </x:font>
    <x:font>
      <x:b/>
      <x:sz val="10"/>
      <x:color rgb="FF172033"/>
      <x:name val="Carlito"/>
    </x:font>
    <x:font>
      <x:b/>
      <x:sz val="10"/>
      <x:color rgb="FF4F66F5"/>
      <x:name val="Carlito"/>
    </x:font>
    <x:font>
      <x:i/>
      <x:sz val="10"/>
      <x:color rgb="FFB779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EF1FF"/>
      </x:patternFill>
    </x:fill>
    <x:fill>
      <x:patternFill patternType="solid">
        <x:fgColor rgb="FF4F66F5"/>
      </x:patternFill>
    </x:fill>
    <x:fill>
      <x:patternFill patternType="solid">
        <x:fgColor rgb="FFF6F8FC"/>
      </x:patternFill>
    </x:fill>
    <x:fill>
      <x:patternFill patternType="solid">
        <x:fgColor rgb="FFFFF7E6"/>
      </x:patternFill>
    </x:fill>
  </x:fills>
  <x:borders count="13">
    <x:border/>
    <x:border>
      <x:right style="thin">
        <x:color rgb="FF7888FF"/>
      </x:right>
    </x:border>
    <x:border>
      <x:left style="thin">
        <x:color rgb="FF7888FF"/>
      </x:left>
      <x:right style="thin">
        <x:color rgb="FF7888FF"/>
      </x:right>
    </x:border>
    <x:border>
      <x:left style="thin">
        <x:color rgb="FF7888FF"/>
      </x:left>
    </x:border>
    <x:border>
      <x:bottom style="thin">
        <x:color rgb="FFD8DEEA"/>
      </x:bottom>
    </x:border>
    <x:border>
      <x:top style="thin">
        <x:color rgb="FFD8DEEA"/>
      </x:top>
      <x:bottom style="thin">
        <x:color rgb="FFD8DEEA"/>
      </x:bottom>
    </x:border>
    <x:border>
      <x:top style="thin">
        <x:color rgb="FFD8DEEA"/>
      </x:top>
    </x:border>
    <x:border>
      <x:right style="thin">
        <x:color rgb="FF7888FF"/>
      </x:right>
      <x:bottom style="thin">
        <x:color rgb="FFD8DEEA"/>
      </x:bottom>
    </x:border>
    <x:border>
      <x:left style="thin">
        <x:color rgb="FF7888FF"/>
      </x:left>
      <x:right style="thin">
        <x:color rgb="FF7888FF"/>
      </x:right>
      <x:bottom style="thin">
        <x:color rgb="FFD8DEEA"/>
      </x:bottom>
    </x:border>
    <x:border>
      <x:right style="thin">
        <x:color rgb="FF7888FF"/>
      </x:right>
      <x:top style="thin">
        <x:color rgb="FFD8DEEA"/>
      </x:top>
      <x:bottom style="thin">
        <x:color rgb="FFD8DEEA"/>
      </x:bottom>
    </x:border>
    <x:border>
      <x:right style="thin">
        <x:color rgb="FF7888FF"/>
      </x:right>
      <x:top style="thin">
        <x:color rgb="FFD8DEEA"/>
      </x:top>
    </x:border>
    <x:border>
      <x:left style="thin">
        <x:color rgb="FFD8DEEA"/>
      </x:left>
      <x:right style="thin">
        <x:color rgb="FFD8DEEA"/>
      </x:right>
      <x:top style="thin">
        <x:color rgb="FFD8DEEA"/>
      </x:top>
      <x:bottom style="thin">
        <x:color rgb="FFD8DEEA"/>
      </x:bottom>
    </x:border>
    <x:border>
      <x:left style="thin">
        <x:color rgb="FFD8DEEA"/>
      </x:left>
      <x:top style="thin">
        <x:color rgb="FFD8DEEA"/>
      </x:top>
      <x:bottom style="thin">
        <x:color rgb="FFD8DEEA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201" fontId="5" fillId="0" borderId="4" xfId="0" applyNumberFormat="1" applyFont="1" applyFill="1" applyBorder="1"/>
    <x:xf numFmtId="201" fontId="5" fillId="0" borderId="5" xfId="0" applyNumberFormat="1" applyFont="1" applyFill="1" applyBorder="1"/>
    <x:xf numFmtId="202" fontId="5" fillId="0" borderId="5" xfId="0" applyNumberFormat="1" applyFont="1" applyFill="1" applyBorder="1"/>
    <x:xf numFmtId="202" fontId="5" fillId="0" borderId="6" xfId="0" applyNumberFormat="1" applyFont="1" applyFill="1" applyBorder="1"/>
    <x:xf numFmtId="0" fontId="2" fillId="0" borderId="11" xfId="0" applyNumberFormat="1" applyFont="1" applyFill="1" applyBorder="1"/>
    <x:xf numFmtId="0" fontId="2" fillId="0" borderId="1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2" fillId="5" borderId="11" xfId="0" applyNumberFormat="1" applyFont="1" applyFill="1" applyBorder="1"/>
    <x:xf numFmtId="0" fontId="8" fillId="5" borderId="11" xfId="0" applyNumberFormat="1" applyFont="1" applyFill="1" applyBorder="1"/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9" fillId="3" borderId="4" xfId="0" applyNumberFormat="1" applyFont="1" applyFill="1" applyBorder="1" applyAlignment="1">
      <x:alignment vertical="top" wrapText="1"/>
    </x:xf>
    <x:xf numFmtId="0" fontId="9" fillId="3" borderId="5" xfId="0" applyNumberFormat="1" applyFont="1" applyFill="1" applyBorder="1" applyAlignment="1">
      <x:alignment vertical="top" wrapText="1"/>
    </x:xf>
    <x:xf numFmtId="0" fontId="9" fillId="3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0" borderId="12" xfId="0" applyNumberFormat="1" applyFont="1" applyFill="1" applyBorder="1" applyAlignment="1">
      <x:alignment horizontal="center"/>
    </x:xf>
  </x:cellXfs>
  <x:cellStyles count="1">
    <x:cellStyle name="Normal" xfId="0"/>
  </x:cellStyles>
  <x:dxfs count="9">
    <x:dxf>
      <x:font>
        <x:b/>
        <x:color rgb="FF16A36A"/>
      </x:font>
      <x:fill>
        <x:patternFill patternType="solid">
          <x:bgColor rgb="FFEAF8F2"/>
        </x:patternFill>
      </x:fill>
    </x:dxf>
    <x:dxf>
      <x:font>
        <x:b/>
        <x:color rgb="FFD92D20"/>
      </x:font>
      <x:fill>
        <x:patternFill patternType="solid">
          <x:bgColor rgb="FFFFF0EE"/>
        </x:patternFill>
      </x:fill>
    </x:dxf>
    <x:dxf>
      <x:font>
        <x:b/>
        <x:color rgb="FFB7791F"/>
      </x:font>
      <x:fill>
        <x:patternFill patternType="solid">
          <x:bgColor rgb="FFFFF7E6"/>
        </x:patternFill>
      </x:fill>
    </x:dxf>
    <x:dxf>
      <x:font>
        <x:b/>
        <x:color rgb="FFD92D20"/>
      </x:font>
      <x:fill>
        <x:patternFill patternType="solid">
          <x:bgColor rgb="FFFFF0EE"/>
        </x:patternFill>
      </x:fill>
    </x:dxf>
    <x:dxf>
      <x:font>
        <x:b/>
        <x:color rgb="FFD92D20"/>
      </x:font>
      <x:fill>
        <x:patternFill patternType="solid">
          <x:bgColor rgb="FFFFF0EE"/>
        </x:patternFill>
      </x:fill>
    </x:dxf>
    <x:dxf>
      <x:font>
        <x:b/>
        <x:color rgb="FFB7791F"/>
      </x:font>
      <x:fill>
        <x:patternFill patternType="solid">
          <x:bgColor rgb="FFFFF7E6"/>
        </x:patternFill>
      </x:fill>
    </x:dxf>
    <x:dxf>
      <x:font>
        <x:b/>
        <x:color rgb="FF16A36A"/>
      </x:font>
      <x:fill>
        <x:patternFill patternType="solid">
          <x:bgColor rgb="FFEAF8F2"/>
        </x:patternFill>
      </x:fill>
    </x:dxf>
    <x:dxf>
      <x:font>
        <x:b/>
        <x:color rgb="FF16A36A"/>
      </x:font>
      <x:fill>
        <x:patternFill patternType="solid">
          <x:bgColor rgb="FFEAF8F2"/>
        </x:patternFill>
      </x:fill>
    </x:dxf>
    <x:dxf>
      <x:font>
        <x:b/>
        <x:color rgb="FFD92D20"/>
      </x:font>
      <x:fill>
        <x:patternFill patternType="solid">
          <x:bgColor rgb="FFFFF0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15b6cc2f424d78" /><Relationship Type="http://schemas.openxmlformats.org/officeDocument/2006/relationships/theme" Target="/xl/theme/theme1.xml" Id="R53ae4a9c0af444d2" /><Relationship Type="http://schemas.openxmlformats.org/officeDocument/2006/relationships/sharedStrings" Target="/xl/sharedStrings.xml" Id="Rcff58f811a154cfa" /><Relationship Type="http://schemas.openxmlformats.org/officeDocument/2006/relationships/worksheet" Target="/xl/worksheets/sheet1.xml" Id="R8962815724054958" /><Relationship Type="http://schemas.openxmlformats.org/officeDocument/2006/relationships/worksheet" Target="/xl/worksheets/sheet2.xml" Id="Rf490e72afda94c29" /><Relationship Type="http://schemas.openxmlformats.org/officeDocument/2006/relationships/worksheet" Target="/xl/worksheets/sheet3.xml" Id="Rd3b559d80b8a4afa" /><Relationship Type="http://schemas.openxmlformats.org/officeDocument/2006/relationships/worksheet" Target="/xl/worksheets/sheet4.xml" Id="R225e31ef8b9441d3" /><Relationship Type="http://schemas.openxmlformats.org/officeDocument/2006/relationships/worksheet" Target="/xl/worksheets/sheet5.xml" Id="R4f867a96e2fd477c" /></Relationships>
</file>

<file path=xl/tables/table1.xml><?xml version="1.0" encoding="utf-8"?>
<x:table xmlns:x="http://schemas.openxmlformats.org/spreadsheetml/2006/main" id="1" name="QACasesTable" displayName="QACasesTable" ref="A5:Q190" headerRowCount="1" totalsRowCount="0" totalsRowShown="0">
  <x:autoFilter ref="A5:Q190"/>
  <x:tableColumns count="17">
    <x:tableColumn id="1" name="번호"/>
    <x:tableColumn id="2" name="화면·영역"/>
    <x:tableColumn id="3" name="누구의 입장에서?"/>
    <x:tableColumn id="4" name="중요도"/>
    <x:tableColumn id="5" name="확인 종류"/>
    <x:tableColumn id="6" name="무엇을 확인하나요?"/>
    <x:tableColumn id="7" name="미리 준비할 것"/>
    <x:tableColumn id="8" name="어떻게 확인하나요?"/>
    <x:tableColumn id="9" name="정상이라면"/>
    <x:tableColumn id="10" name="확인 결과"/>
    <x:tableColumn id="11" name="문제 크기"/>
    <x:tableColumn id="12" name="실제로는"/>
    <x:tableColumn id="13" name="스크린샷·링크"/>
    <x:tableColumn id="14" name="확인한 사람"/>
    <x:tableColumn id="15" name="확인일"/>
    <x:tableColumn id="16" name="기획서 위치"/>
    <x:tableColumn id="17" name="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ARolesTable" displayName="QARolesTable" ref="A5:E20" headerRowCount="1" totalsRowCount="0" totalsRowShown="0">
  <x:tableColumns count="5">
    <x:tableColumn id="1" name="역할 번호"/>
    <x:tableColumn id="2" name="어떤 사용자?"/>
    <x:tableColumn id="3" name="로그인 상태"/>
    <x:tableColumn id="4" name="준비할 상태"/>
    <x:tableColumn id="5" name="이 사람 입장에서 볼 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ATestDataTable" displayName="QATestDataTable" ref="A5:F17" headerRowCount="1" totalsRowCount="0" totalsRowShown="0">
  <x:tableColumns count="6">
    <x:tableColumn id="1" name="준비 번호"/>
    <x:tableColumn id="2" name="어떤 사용자?"/>
    <x:tableColumn id="3" name="계정·구분값"/>
    <x:tableColumn id="4" name="필요한 상태"/>
    <x:tableColumn id="5" name="미리 준비할 것"/>
    <x:tableColumn id="6" name="어디에 사용하나요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DefectsTable" displayName="QADefectsTable" ref="A5:N35" headerRowCount="1" totalsRowCount="0" totalsRowShown="0">
  <x:tableColumns count="14">
    <x:tableColumn id="1" name="문제 번호"/>
    <x:tableColumn id="2" name="연결된 확인 번호"/>
    <x:tableColumn id="3" name="한 줄 요약"/>
    <x:tableColumn id="4" name="문제 상황"/>
    <x:tableColumn id="5" name="원래 되어야 하는 모습"/>
    <x:tableColumn id="6" name="다시 보는 방법"/>
    <x:tableColumn id="7" name="사용 환경"/>
    <x:tableColumn id="8" name="문제 크기"/>
    <x:tableColumn id="9" name="수정 순서"/>
    <x:tableColumn id="10" name="진행 상태"/>
    <x:tableColumn id="11" name="담당자"/>
    <x:tableColumn id="12" name="등록일"/>
    <x:tableColumn id="13" name="스크린샷·링크"/>
    <x:tableColumn id="14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4fddf9c32c4d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2a8629baed45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740520abe747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175a5e768445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4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4" t="str">
        <x:v>노하우집 QA 현황판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3" ht="34" customHeight="1">
      <x:c r="A3" s="8" t="str">
        <x:v>확인 목록의 결과가 자동으로 모입니다. 사용자별 확인 관점과 준비표를 본 뒤, 중요도가 ‘필수’인 항목부터 확인하세요.</x:v>
      </x:c>
      <x:c r="B3" s="8"/>
      <x:c r="C3" s="8"/>
      <x:c r="D3" s="8"/>
      <x:c r="E3" s="8"/>
      <x:c r="F3" s="8"/>
      <x:c r="G3" s="8"/>
      <x:c r="H3" s="8"/>
    </x:row>
    <x:row r="4">
      <x:c r="A4" s="86"/>
      <x:c r="B4" s="86"/>
      <x:c r="C4" s="86"/>
      <x:c r="D4" s="86"/>
      <x:c r="E4" s="86"/>
      <x:c r="F4" s="86"/>
      <x:c r="G4" s="86"/>
      <x:c r="H4" s="86"/>
    </x:row>
    <x:row r="5" ht="34" customHeight="1">
      <x:c r="A5" s="20" t="str">
        <x:v>지표</x:v>
      </x:c>
      <x:c r="B5" s="22" t="str">
        <x:v>값</x:v>
      </x:c>
      <x:c r="C5" s="86"/>
      <x:c r="D5" s="20" t="str">
        <x:v>중요도</x:v>
      </x:c>
      <x:c r="E5" s="21" t="str">
        <x:v>전체</x:v>
      </x:c>
      <x:c r="F5" s="21" t="str">
        <x:v>통과</x:v>
      </x:c>
      <x:c r="G5" s="21" t="str">
        <x:v>실패</x:v>
      </x:c>
      <x:c r="H5" s="22" t="str">
        <x:v>미실행</x:v>
      </x:c>
    </x:row>
    <x:row r="6">
      <x:c r="A6" s="63" t="str">
        <x:v>전체 케이스</x:v>
      </x:c>
      <x:c r="B6" s="66" t="n">
        <x:f>COUNTA('QA 케이스'!$A$6:$A$190)</x:f>
        <x:v>185</x:v>
      </x:c>
      <x:c r="C6" s="86"/>
      <x:c r="D6" s="71" t="str">
        <x:v>필수</x:v>
      </x:c>
      <x:c r="E6" s="71" t="n">
        <x:f>COUNTIF('QA 케이스'!$D$6:$D$190,D6)</x:f>
        <x:v>96</x:v>
      </x:c>
      <x:c r="F6" s="71" t="n">
        <x:f>COUNTIFS('QA 케이스'!$D$6:$D$190,D6,'QA 케이스'!$J$6:$J$190,"통과")</x:f>
        <x:v>0</x:v>
      </x:c>
      <x:c r="G6" s="71" t="n">
        <x:f>COUNTIFS('QA 케이스'!$D$6:$D$190,D6,'QA 케이스'!$J$6:$J$190,"실패")</x:f>
        <x:v>0</x:v>
      </x:c>
      <x:c r="H6" s="87" t="n">
        <x:f>COUNTIFS('QA 케이스'!$D$6:$D$190,D6,'QA 케이스'!$J$6:$J$190,"미실행")</x:f>
        <x:v>96</x:v>
      </x:c>
    </x:row>
    <x:row r="7">
      <x:c r="A7" s="64" t="str">
        <x:v>확인 완료</x:v>
      </x:c>
      <x:c r="B7" s="67" t="n">
        <x:f>COUNTIF('QA 케이스'!$J$6:$J$190,"통과")+COUNTIF('QA 케이스'!$J$6:$J$190,"실패")+COUNTIF('QA 케이스'!$J$6:$J$190,"보류")+COUNTIF('QA 케이스'!$J$6:$J$190,"해당 없음")</x:f>
        <x:v>0</x:v>
      </x:c>
      <x:c r="C7" s="86"/>
      <x:c r="D7" s="71" t="str">
        <x:v>중요</x:v>
      </x:c>
      <x:c r="E7" s="71" t="n">
        <x:f>COUNTIF('QA 케이스'!$D$6:$D$190,D7)</x:f>
        <x:v>83</x:v>
      </x:c>
      <x:c r="F7" s="71" t="n">
        <x:f>COUNTIFS('QA 케이스'!$D$6:$D$190,D7,'QA 케이스'!$J$6:$J$190,"통과")</x:f>
        <x:v>0</x:v>
      </x:c>
      <x:c r="G7" s="71" t="n">
        <x:f>COUNTIFS('QA 케이스'!$D$6:$D$190,D7,'QA 케이스'!$J$6:$J$190,"실패")</x:f>
        <x:v>0</x:v>
      </x:c>
      <x:c r="H7" s="87" t="n">
        <x:f>COUNTIFS('QA 케이스'!$D$6:$D$190,D7,'QA 케이스'!$J$6:$J$190,"미실행")</x:f>
        <x:v>83</x:v>
      </x:c>
    </x:row>
    <x:row r="8">
      <x:c r="A8" s="64" t="str">
        <x:v>통과</x:v>
      </x:c>
      <x:c r="B8" s="67" t="n">
        <x:f>COUNTIF('QA 케이스'!$J$6:$J$190,"통과")</x:f>
        <x:v>0</x:v>
      </x:c>
      <x:c r="C8" s="86"/>
      <x:c r="D8" s="71" t="str">
        <x:v>추가</x:v>
      </x:c>
      <x:c r="E8" s="71" t="n">
        <x:f>COUNTIF('QA 케이스'!$D$6:$D$190,D8)</x:f>
        <x:v>6</x:v>
      </x:c>
      <x:c r="F8" s="71" t="n">
        <x:f>COUNTIFS('QA 케이스'!$D$6:$D$190,D8,'QA 케이스'!$J$6:$J$190,"통과")</x:f>
        <x:v>0</x:v>
      </x:c>
      <x:c r="G8" s="71" t="n">
        <x:f>COUNTIFS('QA 케이스'!$D$6:$D$190,D8,'QA 케이스'!$J$6:$J$190,"실패")</x:f>
        <x:v>0</x:v>
      </x:c>
      <x:c r="H8" s="87" t="n">
        <x:f>COUNTIFS('QA 케이스'!$D$6:$D$190,D8,'QA 케이스'!$J$6:$J$190,"미실행")</x:f>
        <x:v>6</x:v>
      </x:c>
    </x:row>
    <x:row r="9">
      <x:c r="A9" s="64" t="str">
        <x:v>실패</x:v>
      </x:c>
      <x:c r="B9" s="67" t="n">
        <x:f>COUNTIF('QA 케이스'!$J$6:$J$190,"실패")</x:f>
        <x:v>0</x:v>
      </x:c>
      <x:c r="C9" s="86"/>
      <x:c r="D9" s="86"/>
      <x:c r="E9" s="86"/>
      <x:c r="F9" s="86"/>
      <x:c r="G9" s="86"/>
      <x:c r="H9" s="86"/>
    </x:row>
    <x:row r="10">
      <x:c r="A10" s="64" t="str">
        <x:v>보류</x:v>
      </x:c>
      <x:c r="B10" s="67" t="n">
        <x:f>COUNTIF('QA 케이스'!$J$6:$J$190,"보류")</x:f>
        <x:v>0</x:v>
      </x:c>
      <x:c r="C10" s="86"/>
      <x:c r="D10" s="73" t="str">
        <x:v>문제 현황</x:v>
      </x:c>
      <x:c r="E10" s="73" t="str">
        <x:v>개수</x:v>
      </x:c>
      <x:c r="F10" s="73" t="str"/>
      <x:c r="G10" s="73" t="str"/>
      <x:c r="H10" s="73" t="str"/>
    </x:row>
    <x:row r="11">
      <x:c r="A11" s="64" t="str">
        <x:v>확인한 비율</x:v>
      </x:c>
      <x:c r="B11" s="68" t="n">
        <x:f>IFERROR(B7/B6,0)</x:f>
        <x:v>0</x:v>
      </x:c>
      <x:c r="C11" s="86"/>
      <x:c r="D11" s="75" t="str">
        <x:v>적어둔 문제</x:v>
      </x:c>
      <x:c r="E11" s="70" t="n">
        <x:f>COUNTIF('결함 리포트'!$C$6:$C$35,"?*")</x:f>
        <x:v>0</x:v>
      </x:c>
      <x:c r="F11" s="86"/>
      <x:c r="G11" s="86"/>
      <x:c r="H11" s="86"/>
    </x:row>
    <x:row r="12">
      <x:c r="A12" s="65" t="str">
        <x:v>정상 비율</x:v>
      </x:c>
      <x:c r="B12" s="69" t="n">
        <x:f>IFERROR(B8/(B8+B9),0)</x:f>
        <x:v>0</x:v>
      </x:c>
      <x:c r="C12" s="86"/>
      <x:c r="D12" s="75" t="str">
        <x:v>매우 심각</x:v>
      </x:c>
      <x:c r="E12" s="70" t="n">
        <x:f>COUNTIF('결함 리포트'!$H$6:$H$35,"매우 심각")</x:f>
        <x:v>0</x:v>
      </x:c>
      <x:c r="F12" s="86"/>
      <x:c r="G12" s="86"/>
      <x:c r="H12" s="86"/>
    </x:row>
    <x:row r="13">
      <x:c r="A13" s="86"/>
      <x:c r="B13" s="86"/>
      <x:c r="C13" s="86"/>
      <x:c r="D13" s="75" t="str">
        <x:v>심각</x:v>
      </x:c>
      <x:c r="E13" s="70" t="n">
        <x:f>COUNTIF('결함 리포트'!$H$6:$H$35,"심각")</x:f>
        <x:v>0</x:v>
      </x:c>
      <x:c r="F13" s="86"/>
      <x:c r="G13" s="86"/>
      <x:c r="H13" s="86"/>
    </x:row>
    <x:row r="14">
      <x:c r="A14" s="86"/>
      <x:c r="B14" s="86"/>
      <x:c r="C14" s="86"/>
      <x:c r="D14" s="75" t="str">
        <x:v>아직 해결 안 됨</x:v>
      </x:c>
      <x:c r="E14" s="70" t="n">
        <x:f>COUNTIFS('결함 리포트'!$C$6:$C$35,"?*",'결함 리포트'!$J$6:$J$35,"&lt;&gt;완료")</x:f>
        <x:v>0</x:v>
      </x:c>
      <x:c r="F14" s="86"/>
      <x:c r="G14" s="86"/>
      <x:c r="H14" s="86"/>
    </x:row>
    <x:row r="15">
      <x:c r="A15" s="86"/>
      <x:c r="B15" s="86"/>
      <x:c r="C15" s="86"/>
      <x:c r="D15" s="86"/>
      <x:c r="E15" s="86"/>
      <x:c r="F15" s="86"/>
      <x:c r="G15" s="86"/>
      <x:c r="H15" s="86"/>
    </x:row>
    <x:row r="16">
      <x:c r="A16" s="73" t="str">
        <x:v>확인 순서와 기록 방법</x:v>
      </x:c>
      <x:c r="B16" s="73"/>
      <x:c r="C16" s="73"/>
      <x:c r="D16" s="73"/>
      <x:c r="E16" s="73"/>
      <x:c r="F16" s="73"/>
      <x:c r="G16" s="73"/>
      <x:c r="H16" s="73"/>
    </x:row>
    <x:row r="17" ht="36" customHeight="1">
      <x:c r="A17" s="79" t="str">
        <x:v>1</x:v>
      </x:c>
      <x:c r="B17" s="53" t="str">
        <x:v>사용 환경 적기</x:v>
      </x:c>
      <x:c r="C17" s="53" t="str">
        <x:v>사용한 브라우저, 기기, 주소와 개발 버전을 문제 기록 시트에 적습니다.</x:v>
      </x:c>
      <x:c r="D17" s="53"/>
      <x:c r="E17" s="53"/>
      <x:c r="F17" s="53"/>
      <x:c r="G17" s="53"/>
      <x:c r="H17" s="53"/>
    </x:row>
    <x:row r="18" ht="36" customHeight="1">
      <x:c r="A18" s="80" t="str">
        <x:v>2</x:v>
      </x:c>
      <x:c r="B18" s="54" t="str">
        <x:v>필수 항목 먼저</x:v>
      </x:c>
      <x:c r="C18" s="54" t="str">
        <x:v>로그인, 결제, 다른 사람 정보 보호, 영상·자료 이용부터 확인합니다.</x:v>
      </x:c>
      <x:c r="D18" s="54"/>
      <x:c r="E18" s="54"/>
      <x:c r="F18" s="54"/>
      <x:c r="G18" s="54"/>
      <x:c r="H18" s="54"/>
    </x:row>
    <x:row r="19" ht="36" customHeight="1">
      <x:c r="A19" s="80" t="str">
        <x:v>3</x:v>
      </x:c>
      <x:c r="B19" s="54" t="str">
        <x:v>사용자 바꿔 보기</x:v>
      </x:c>
      <x:c r="C19" s="54" t="str">
        <x:v>비회원→미구매 사용자→수강 상태별 사용자→크리에이터 순서로 같은 기능을 다시 봅니다.</x:v>
      </x:c>
      <x:c r="D19" s="54"/>
      <x:c r="E19" s="54"/>
      <x:c r="F19" s="54"/>
      <x:c r="G19" s="54"/>
      <x:c r="H19" s="54"/>
    </x:row>
    <x:row r="20" ht="36" customHeight="1">
      <x:c r="A20" s="80" t="str">
        <x:v>4</x:v>
      </x:c>
      <x:c r="B20" s="54" t="str">
        <x:v>문제 적기</x:v>
      </x:c>
      <x:c r="C20" s="54" t="str">
        <x:v>정상이라면 열과 다를 경우 실제 상황, 다시 보는 방법, 스크린샷과 문제 크기를 적습니다.</x:v>
      </x:c>
      <x:c r="D20" s="54"/>
      <x:c r="E20" s="54"/>
      <x:c r="F20" s="54"/>
      <x:c r="G20" s="54"/>
      <x:c r="H20" s="54"/>
    </x:row>
    <x:row r="21" ht="36" customHeight="1">
      <x:c r="A21" s="80" t="str">
        <x:v>5</x:v>
      </x:c>
      <x:c r="B21" s="54" t="str">
        <x:v>문제 크기</x:v>
      </x:c>
      <x:c r="C21" s="54" t="str">
        <x:v>매우 심각: 서비스·결제·개인정보 문제 / 심각: 중요한 기능 실패 / 보통: 다른 방법으로 가능 / 가벼움: 작은 화면·문구 문제</x:v>
      </x:c>
      <x:c r="D21" s="54"/>
      <x:c r="E21" s="54"/>
      <x:c r="F21" s="54"/>
      <x:c r="G21" s="54"/>
      <x:c r="H21" s="54"/>
    </x:row>
    <x:row r="22" ht="36" customHeight="1">
      <x:c r="A22" s="81" t="str">
        <x:v>6</x:v>
      </x:c>
      <x:c r="B22" s="55" t="str">
        <x:v>수정 후 다시 보기</x:v>
      </x:c>
      <x:c r="C22" s="55" t="str">
        <x:v>개발자가 수정하면 원래 항목과 비슷한 사용자·상태 항목도 함께 다시 확인합니다.</x:v>
      </x:c>
      <x:c r="D22" s="55"/>
      <x:c r="E22" s="55"/>
      <x:c r="F22" s="55"/>
      <x:c r="G22" s="55"/>
      <x:c r="H22" s="55"/>
    </x:row>
    <x:row r="23">
      <x:c r="A23" s="86"/>
      <x:c r="B23" s="86"/>
      <x:c r="C23" s="86"/>
      <x:c r="D23" s="86"/>
      <x:c r="E23" s="86"/>
      <x:c r="F23" s="86"/>
      <x:c r="G23" s="86"/>
      <x:c r="H23" s="86"/>
    </x:row>
    <x:row r="24" ht="34" customHeight="1">
      <x:c r="A24" s="85" t="str">
        <x:v>범위 안내: 플랫폼 관리자 화면은 이번 확인에서 제외합니다. 내 학습 화면 구조 변경은 나중에 할 일이므로, 이번에는 강의가 많을 때 느려지는지만 기록합니다.</x:v>
      </x:c>
      <x:c r="B24" s="85"/>
      <x:c r="C24" s="85"/>
      <x:c r="D24" s="85"/>
      <x:c r="E24" s="85"/>
      <x:c r="F24" s="85"/>
      <x:c r="G24" s="85"/>
      <x:c r="H24" s="85"/>
    </x:row>
  </x:sheetData>
  <x:mergeCells>
    <x:mergeCell ref="A1:H2"/>
    <x:mergeCell ref="A3:H3"/>
    <x:mergeCell ref="D10:H10"/>
    <x:mergeCell ref="A16:H16"/>
    <x:mergeCell ref="C17:H17"/>
    <x:mergeCell ref="C18:H18"/>
    <x:mergeCell ref="C19:H19"/>
    <x:mergeCell ref="C20:H20"/>
    <x:mergeCell ref="C21:H21"/>
    <x:mergeCell ref="C22:H22"/>
    <x:mergeCell ref="A24:H24"/>
  </x:mergeCells>
  <x:conditionalFormatting sqref="B8:B8">
    <x:cfRule type="cellIs" dxfId="7" priority="1" operator="greaterThan">
      <x:formula>0</x:formula>
    </x:cfRule>
  </x:conditionalFormatting>
  <x:conditionalFormatting sqref="B9:B9">
    <x:cfRule type="cellIs" dxfId="8" priority="2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0" hidden="0" customWidth="1"/>
    <x:col min="5" max="5" width="12" hidden="0" customWidth="1"/>
    <x:col min="6" max="6" width="34" hidden="0" customWidth="1"/>
    <x:col min="7" max="7" width="34" hidden="0" customWidth="1"/>
    <x:col min="8" max="8" width="48" hidden="0" customWidth="1"/>
    <x:col min="9" max="9" width="52" hidden="0" customWidth="1"/>
    <x:col min="10" max="10" width="12" hidden="0" customWidth="1"/>
    <x:col min="11" max="11" width="12" hidden="0" customWidth="1"/>
    <x:col min="12" max="12" width="42" hidden="0" customWidth="1"/>
    <x:col min="13" max="13" width="25" hidden="0" customWidth="1"/>
    <x:col min="14" max="14" width="14" hidden="0" customWidth="1"/>
    <x:col min="15" max="15" width="14" hidden="0" customWidth="1"/>
    <x:col min="16" max="16" width="26" hidden="0" customWidth="1"/>
    <x:col min="17" max="17" width="28" hidden="0" customWidth="1"/>
  </x:cols>
  <x:sheetData>
    <x:row r="1" ht="30" customHeight="1">
      <x:c r="A1" s="4" t="str">
        <x:v>노하우집 QA 확인 목록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34" customHeight="1">
      <x:c r="A3" s="8" t="str">
        <x:v>총 185개 항목 · 미리 준비할 것부터 확인 방법과 정상 결과까지 순서대로 읽고, 확인한 결과를 선택하세요.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</x:row>
    <x:row r="5" ht="34" customHeight="1">
      <x:c r="A5" s="42" t="str">
        <x:v>번호</x:v>
      </x:c>
      <x:c r="B5" s="43" t="str">
        <x:v>화면·영역</x:v>
      </x:c>
      <x:c r="C5" s="43" t="str">
        <x:v>누구의 입장에서?</x:v>
      </x:c>
      <x:c r="D5" s="43" t="str">
        <x:v>중요도</x:v>
      </x:c>
      <x:c r="E5" s="43" t="str">
        <x:v>확인 종류</x:v>
      </x:c>
      <x:c r="F5" s="43" t="str">
        <x:v>무엇을 확인하나요?</x:v>
      </x:c>
      <x:c r="G5" s="43" t="str">
        <x:v>미리 준비할 것</x:v>
      </x:c>
      <x:c r="H5" s="43" t="str">
        <x:v>어떻게 확인하나요?</x:v>
      </x:c>
      <x:c r="I5" s="43" t="str">
        <x:v>정상이라면</x:v>
      </x:c>
      <x:c r="J5" s="43" t="str">
        <x:v>확인 결과</x:v>
      </x:c>
      <x:c r="K5" s="43" t="str">
        <x:v>문제 크기</x:v>
      </x:c>
      <x:c r="L5" s="43" t="str">
        <x:v>실제로는</x:v>
      </x:c>
      <x:c r="M5" s="43" t="str">
        <x:v>스크린샷·링크</x:v>
      </x:c>
      <x:c r="N5" s="43" t="str">
        <x:v>확인한 사람</x:v>
      </x:c>
      <x:c r="O5" s="43" t="str">
        <x:v>확인일</x:v>
      </x:c>
      <x:c r="P5" s="43" t="str">
        <x:v>기획서 위치</x:v>
      </x:c>
      <x:c r="Q5" s="43" t="str">
        <x:v>메모</x:v>
      </x:c>
    </x:row>
    <x:row r="6" ht="54" customHeight="1">
      <x:c r="A6" s="34" t="str">
        <x:v>QA-001</x:v>
      </x:c>
      <x:c r="B6" s="34" t="str">
        <x:v>홈·공개 탐색</x:v>
      </x:c>
      <x:c r="C6" s="34" t="str">
        <x:v>비회원</x:v>
      </x:c>
      <x:c r="D6" s="34" t="str">
        <x:v>필수</x:v>
      </x:c>
      <x:c r="E6" s="34" t="str">
        <x:v>기본 동작</x:v>
      </x:c>
      <x:c r="F6" s="31" t="str">
        <x:v>홈 첫 진입</x:v>
      </x:c>
      <x:c r="G6" s="31" t="str">
        <x:v>로그아웃 상태</x:v>
      </x:c>
      <x:c r="H6" s="31" t="str">
        <x:v>서비스 홈 주소 접속</x:v>
      </x:c>
      <x:c r="I6" s="31" t="str">
        <x:v>핵심 메시지, 대표 크리에이터, 인기 클래스와 주요 버튼이 오류 없이 표시된다.</x:v>
      </x:c>
      <x:c r="J6" s="37" t="str">
        <x:v>미실행</x:v>
      </x:c>
      <x:c r="K6" s="37" t="str"/>
      <x:c r="L6" s="31" t="str"/>
      <x:c r="M6" s="31" t="str"/>
      <x:c r="N6" s="31" t="str"/>
      <x:c r="O6" s="40"/>
      <x:c r="P6" s="31" t="str">
        <x:v>기획서 §5.1</x:v>
      </x:c>
      <x:c r="Q6" s="44" t="str"/>
    </x:row>
    <x:row r="7" ht="54" customHeight="1">
      <x:c r="A7" s="34" t="str">
        <x:v>QA-002</x:v>
      </x:c>
      <x:c r="B7" s="34" t="str">
        <x:v>홈·공개 탐색</x:v>
      </x:c>
      <x:c r="C7" s="34" t="str">
        <x:v>비회원</x:v>
      </x:c>
      <x:c r="D7" s="34" t="str">
        <x:v>중요</x:v>
      </x:c>
      <x:c r="E7" s="34" t="str">
        <x:v>화면 이동</x:v>
      </x:c>
      <x:c r="F7" s="31" t="str">
        <x:v>크리에이터 둘러보기</x:v>
      </x:c>
      <x:c r="G7" s="31" t="str">
        <x:v>홈 진입</x:v>
      </x:c>
      <x:c r="H7" s="31" t="str">
        <x:v>크리에이터 둘러보기 선택</x:v>
      </x:c>
      <x:c r="I7" s="31" t="str">
        <x:v>같은 창에서 크리에이터 목록으로 이동하고 선택 메뉴가 일치한다.</x:v>
      </x:c>
      <x:c r="J7" s="37" t="str">
        <x:v>미실행</x:v>
      </x:c>
      <x:c r="K7" s="37" t="str"/>
      <x:c r="L7" s="31" t="str"/>
      <x:c r="M7" s="31" t="str"/>
      <x:c r="N7" s="31" t="str"/>
      <x:c r="O7" s="40"/>
      <x:c r="P7" s="31" t="str">
        <x:v>기획서 §5.1</x:v>
      </x:c>
      <x:c r="Q7" s="44" t="str"/>
    </x:row>
    <x:row r="8" ht="54" customHeight="1">
      <x:c r="A8" s="34" t="str">
        <x:v>QA-003</x:v>
      </x:c>
      <x:c r="B8" s="34" t="str">
        <x:v>홈·공개 탐색</x:v>
      </x:c>
      <x:c r="C8" s="34" t="str">
        <x:v>비회원</x:v>
      </x:c>
      <x:c r="D8" s="34" t="str">
        <x:v>중요</x:v>
      </x:c>
      <x:c r="E8" s="34" t="str">
        <x:v>화면 이동</x:v>
      </x:c>
      <x:c r="F8" s="31" t="str">
        <x:v>이용 방법 보기</x:v>
      </x:c>
      <x:c r="G8" s="31" t="str">
        <x:v>홈 진입</x:v>
      </x:c>
      <x:c r="H8" s="31" t="str">
        <x:v>이용 방법 보기 선택</x:v>
      </x:c>
      <x:c r="I8" s="31" t="str">
        <x:v>홈 하단 이용 방법 영역으로 자연스럽게 스크롤한다.</x:v>
      </x:c>
      <x:c r="J8" s="37" t="str">
        <x:v>미실행</x:v>
      </x:c>
      <x:c r="K8" s="37" t="str"/>
      <x:c r="L8" s="31" t="str"/>
      <x:c r="M8" s="31" t="str"/>
      <x:c r="N8" s="31" t="str"/>
      <x:c r="O8" s="40"/>
      <x:c r="P8" s="31" t="str">
        <x:v>기획서 §5.1</x:v>
      </x:c>
      <x:c r="Q8" s="44" t="str"/>
    </x:row>
    <x:row r="9" ht="54" customHeight="1">
      <x:c r="A9" s="34" t="str">
        <x:v>QA-004</x:v>
      </x:c>
      <x:c r="B9" s="34" t="str">
        <x:v>홈·공개 탐색</x:v>
      </x:c>
      <x:c r="C9" s="34" t="str">
        <x:v>비회원</x:v>
      </x:c>
      <x:c r="D9" s="34" t="str">
        <x:v>중요</x:v>
      </x:c>
      <x:c r="E9" s="34" t="str">
        <x:v>내용 확인</x:v>
      </x:c>
      <x:c r="F9" s="31" t="str">
        <x:v>대표 크리에이터 표시 수와 정렬</x:v>
      </x:c>
      <x:c r="G9" s="31" t="str">
        <x:v>공개 크리에이터 5명 이상</x:v>
      </x:c>
      <x:c r="H9" s="31" t="str">
        <x:v>믿고 배우는 크리에이터 영역 확인</x:v>
      </x:c>
      <x:c r="I9" s="31" t="str">
        <x:v>먼저 등록된 순서로 최대 4명만 표시되고 카드 묶음이 가운데 정렬된다.</x:v>
      </x:c>
      <x:c r="J9" s="37" t="str">
        <x:v>미실행</x:v>
      </x:c>
      <x:c r="K9" s="37" t="str"/>
      <x:c r="L9" s="31" t="str"/>
      <x:c r="M9" s="31" t="str"/>
      <x:c r="N9" s="31" t="str"/>
      <x:c r="O9" s="40"/>
      <x:c r="P9" s="31" t="str">
        <x:v>기획서 §5.1</x:v>
      </x:c>
      <x:c r="Q9" s="44" t="str"/>
    </x:row>
    <x:row r="10" ht="54" customHeight="1">
      <x:c r="A10" s="34" t="str">
        <x:v>QA-005</x:v>
      </x:c>
      <x:c r="B10" s="34" t="str">
        <x:v>홈·공개 탐색</x:v>
      </x:c>
      <x:c r="C10" s="34" t="str">
        <x:v>비회원</x:v>
      </x:c>
      <x:c r="D10" s="34" t="str">
        <x:v>중요</x:v>
      </x:c>
      <x:c r="E10" s="34" t="str">
        <x:v>내용 확인</x:v>
      </x:c>
      <x:c r="F10" s="31" t="str">
        <x:v>인기 클래스 노출 조건</x:v>
      </x:c>
      <x:c r="G10" s="31" t="str">
        <x:v>공개·비공개 및 모집 상태가 다른 클래스 준비</x:v>
      </x:c>
      <x:c r="H10" s="31" t="str">
        <x:v>인기 클래스 영역 확인</x:v>
      </x:c>
      <x:c r="I10" s="31" t="str">
        <x:v>공개이면서 모집 중인 클래스만 등록 순서대로 최대 4개 표시된다.</x:v>
      </x:c>
      <x:c r="J10" s="37" t="str">
        <x:v>미실행</x:v>
      </x:c>
      <x:c r="K10" s="37" t="str"/>
      <x:c r="L10" s="31" t="str"/>
      <x:c r="M10" s="31" t="str"/>
      <x:c r="N10" s="31" t="str"/>
      <x:c r="O10" s="40"/>
      <x:c r="P10" s="31" t="str">
        <x:v>기획서 §5.1</x:v>
      </x:c>
      <x:c r="Q10" s="44" t="str"/>
    </x:row>
    <x:row r="11" ht="54" customHeight="1">
      <x:c r="A11" s="34" t="str">
        <x:v>QA-006</x:v>
      </x:c>
      <x:c r="B11" s="34" t="str">
        <x:v>홈·공개 탐색</x:v>
      </x:c>
      <x:c r="C11" s="34" t="str">
        <x:v>비회원</x:v>
      </x:c>
      <x:c r="D11" s="34" t="str">
        <x:v>추가</x:v>
      </x:c>
      <x:c r="E11" s="34" t="str">
        <x:v>화면 표시</x:v>
      </x:c>
      <x:c r="F11" s="31" t="str">
        <x:v>인기 클래스 카드 정보</x:v>
      </x:c>
      <x:c r="G11" s="31" t="str">
        <x:v>인기 클래스 존재</x:v>
      </x:c>
      <x:c r="H11" s="31" t="str">
        <x:v>카드의 문구와 배지 확인</x:v>
      </x:c>
      <x:c r="I11" s="31" t="str">
        <x:v>크리에이터명, 레벨, 클래스명과 가격이 보이며 모집 상태 문구는 카드에 표시하지 않는다.</x:v>
      </x:c>
      <x:c r="J11" s="37" t="str">
        <x:v>미실행</x:v>
      </x:c>
      <x:c r="K11" s="37" t="str"/>
      <x:c r="L11" s="31" t="str"/>
      <x:c r="M11" s="31" t="str"/>
      <x:c r="N11" s="31" t="str"/>
      <x:c r="O11" s="40"/>
      <x:c r="P11" s="31" t="str">
        <x:v>기획서 §5.1</x:v>
      </x:c>
      <x:c r="Q11" s="44" t="str"/>
    </x:row>
    <x:row r="12" ht="54" customHeight="1">
      <x:c r="A12" s="34" t="str">
        <x:v>QA-007</x:v>
      </x:c>
      <x:c r="B12" s="34" t="str">
        <x:v>홈·공개 탐색</x:v>
      </x:c>
      <x:c r="C12" s="34" t="str">
        <x:v>비회원</x:v>
      </x:c>
      <x:c r="D12" s="34" t="str">
        <x:v>중요</x:v>
      </x:c>
      <x:c r="E12" s="34" t="str">
        <x:v>화면 이동</x:v>
      </x:c>
      <x:c r="F12" s="31" t="str">
        <x:v>대표 카드 수강신청</x:v>
      </x:c>
      <x:c r="G12" s="31" t="str">
        <x:v>홈 진입</x:v>
      </x:c>
      <x:c r="H12" s="31" t="str">
        <x:v>애매모홈 카드의 수강신청하기 선택</x:v>
      </x:c>
      <x:c r="I12" s="31" t="str">
        <x:v>애매모홈 크리에이터 상세 또는 수강신청 진입 화면으로 같은 창에서 이동한다.</x:v>
      </x:c>
      <x:c r="J12" s="37" t="str">
        <x:v>미실행</x:v>
      </x:c>
      <x:c r="K12" s="37" t="str"/>
      <x:c r="L12" s="31" t="str"/>
      <x:c r="M12" s="31" t="str"/>
      <x:c r="N12" s="31" t="str"/>
      <x:c r="O12" s="40"/>
      <x:c r="P12" s="31" t="str">
        <x:v>기획서 §5.1</x:v>
      </x:c>
      <x:c r="Q12" s="44" t="str"/>
    </x:row>
    <x:row r="13" ht="54" customHeight="1">
      <x:c r="A13" s="34" t="str">
        <x:v>QA-008</x:v>
      </x:c>
      <x:c r="B13" s="34" t="str">
        <x:v>홈·공개 탐색</x:v>
      </x:c>
      <x:c r="C13" s="34" t="str">
        <x:v>비회원</x:v>
      </x:c>
      <x:c r="D13" s="34" t="str">
        <x:v>중요</x:v>
      </x:c>
      <x:c r="E13" s="34" t="str">
        <x:v>로그인</x:v>
      </x:c>
      <x:c r="F13" s="31" t="str">
        <x:v>바로 시작하기</x:v>
      </x:c>
      <x:c r="G13" s="31" t="str">
        <x:v>로그아웃 상태</x:v>
      </x:c>
      <x:c r="H13" s="31" t="str">
        <x:v>홈 최하단 바로 시작하기 선택</x:v>
      </x:c>
      <x:c r="I13" s="31" t="str">
        <x:v>공통 카카오 로그인 화면으로 이동한다.</x:v>
      </x:c>
      <x:c r="J13" s="37" t="str">
        <x:v>미실행</x:v>
      </x:c>
      <x:c r="K13" s="37" t="str"/>
      <x:c r="L13" s="31" t="str"/>
      <x:c r="M13" s="31" t="str"/>
      <x:c r="N13" s="31" t="str"/>
      <x:c r="O13" s="40"/>
      <x:c r="P13" s="31" t="str">
        <x:v>기획서 §5.1</x:v>
      </x:c>
      <x:c r="Q13" s="44" t="str"/>
    </x:row>
    <x:row r="14" ht="54" customHeight="1">
      <x:c r="A14" s="34" t="str">
        <x:v>QA-009</x:v>
      </x:c>
      <x:c r="B14" s="34" t="str">
        <x:v>크리에이터 탐색</x:v>
      </x:c>
      <x:c r="C14" s="34" t="str">
        <x:v>비회원</x:v>
      </x:c>
      <x:c r="D14" s="34" t="str">
        <x:v>필수</x:v>
      </x:c>
      <x:c r="E14" s="34" t="str">
        <x:v>기본 동작</x:v>
      </x:c>
      <x:c r="F14" s="31" t="str">
        <x:v>크리에이터 목록 조회</x:v>
      </x:c>
      <x:c r="G14" s="31" t="str">
        <x:v>입점 크리에이터 존재</x:v>
      </x:c>
      <x:c r="H14" s="31" t="str">
        <x:v>크리에이터 메뉴 진입</x:v>
      </x:c>
      <x:c r="I14" s="31" t="str">
        <x:v>입점한 크리에이터 카드가 누락 없이 표시된다.</x:v>
      </x:c>
      <x:c r="J14" s="37" t="str">
        <x:v>미실행</x:v>
      </x:c>
      <x:c r="K14" s="37" t="str"/>
      <x:c r="L14" s="31" t="str"/>
      <x:c r="M14" s="31" t="str"/>
      <x:c r="N14" s="31" t="str"/>
      <x:c r="O14" s="40"/>
      <x:c r="P14" s="31" t="str">
        <x:v>기획서 §5.2~5.3</x:v>
      </x:c>
      <x:c r="Q14" s="44" t="str"/>
    </x:row>
    <x:row r="15" ht="54" customHeight="1">
      <x:c r="A15" s="34" t="str">
        <x:v>QA-010</x:v>
      </x:c>
      <x:c r="B15" s="34" t="str">
        <x:v>크리에이터 탐색</x:v>
      </x:c>
      <x:c r="C15" s="34" t="str">
        <x:v>비회원</x:v>
      </x:c>
      <x:c r="D15" s="34" t="str">
        <x:v>중요</x:v>
      </x:c>
      <x:c r="E15" s="34" t="str">
        <x:v>내용 확인</x:v>
      </x:c>
      <x:c r="F15" s="31" t="str">
        <x:v>크리에이터 정렬</x:v>
      </x:c>
      <x:c r="G15" s="31" t="str">
        <x:v>각 크리에이터의 최근 클래스 등록일이 다름</x:v>
      </x:c>
      <x:c r="H15" s="31" t="str">
        <x:v>목록 순서 확인</x:v>
      </x:c>
      <x:c r="I15" s="31" t="str">
        <x:v>가장 가장 최근에 클래스를 올린 크리에이터부터으로 정렬된다.</x:v>
      </x:c>
      <x:c r="J15" s="37" t="str">
        <x:v>미실행</x:v>
      </x:c>
      <x:c r="K15" s="37" t="str"/>
      <x:c r="L15" s="31" t="str"/>
      <x:c r="M15" s="31" t="str"/>
      <x:c r="N15" s="31" t="str"/>
      <x:c r="O15" s="40"/>
      <x:c r="P15" s="31" t="str">
        <x:v>기획서 §5.2~5.3</x:v>
      </x:c>
      <x:c r="Q15" s="44" t="str"/>
    </x:row>
    <x:row r="16" ht="54" customHeight="1">
      <x:c r="A16" s="34" t="str">
        <x:v>QA-011</x:v>
      </x:c>
      <x:c r="B16" s="34" t="str">
        <x:v>크리에이터 탐색</x:v>
      </x:c>
      <x:c r="C16" s="34" t="str">
        <x:v>비회원</x:v>
      </x:c>
      <x:c r="D16" s="34" t="str">
        <x:v>중요</x:v>
      </x:c>
      <x:c r="E16" s="34" t="str">
        <x:v>화면 표시</x:v>
      </x:c>
      <x:c r="F16" s="31" t="str">
        <x:v>크리에이터 카드 정보</x:v>
      </x:c>
      <x:c r="G16" s="31" t="str">
        <x:v>목록 진입</x:v>
      </x:c>
      <x:c r="H16" s="31" t="str">
        <x:v>카드 정보 확인</x:v>
      </x:c>
      <x:c r="I16" s="31" t="str">
        <x:v>이름, 핸들, 한 줄 소개, 배경, 프로필 이미지와 카테고리가 표시된다.</x:v>
      </x:c>
      <x:c r="J16" s="37" t="str">
        <x:v>미실행</x:v>
      </x:c>
      <x:c r="K16" s="37" t="str"/>
      <x:c r="L16" s="31" t="str"/>
      <x:c r="M16" s="31" t="str"/>
      <x:c r="N16" s="31" t="str"/>
      <x:c r="O16" s="40"/>
      <x:c r="P16" s="31" t="str">
        <x:v>기획서 §5.2~5.3</x:v>
      </x:c>
      <x:c r="Q16" s="44" t="str"/>
    </x:row>
    <x:row r="17" ht="54" customHeight="1">
      <x:c r="A17" s="34" t="str">
        <x:v>QA-012</x:v>
      </x:c>
      <x:c r="B17" s="34" t="str">
        <x:v>크리에이터 탐색</x:v>
      </x:c>
      <x:c r="C17" s="34" t="str">
        <x:v>비회원</x:v>
      </x:c>
      <x:c r="D17" s="34" t="str">
        <x:v>필수</x:v>
      </x:c>
      <x:c r="E17" s="34" t="str">
        <x:v>화면 이동</x:v>
      </x:c>
      <x:c r="F17" s="31" t="str">
        <x:v>크리에이터 상세 진입</x:v>
      </x:c>
      <x:c r="G17" s="31" t="str">
        <x:v>목록 진입</x:v>
      </x:c>
      <x:c r="H17" s="31" t="str">
        <x:v>특정 크리에이터 카드 선택</x:v>
      </x:c>
      <x:c r="I17" s="31" t="str">
        <x:v>같은 창에서 선택한 크리에이터 상세로 이동한다.</x:v>
      </x:c>
      <x:c r="J17" s="37" t="str">
        <x:v>미실행</x:v>
      </x:c>
      <x:c r="K17" s="37" t="str"/>
      <x:c r="L17" s="31" t="str"/>
      <x:c r="M17" s="31" t="str"/>
      <x:c r="N17" s="31" t="str"/>
      <x:c r="O17" s="40"/>
      <x:c r="P17" s="31" t="str">
        <x:v>기획서 §5.2~5.3</x:v>
      </x:c>
      <x:c r="Q17" s="44" t="str"/>
    </x:row>
    <x:row r="18" ht="54" customHeight="1">
      <x:c r="A18" s="34" t="str">
        <x:v>QA-013</x:v>
      </x:c>
      <x:c r="B18" s="34" t="str">
        <x:v>크리에이터 탐색</x:v>
      </x:c>
      <x:c r="C18" s="34" t="str">
        <x:v>비회원</x:v>
      </x:c>
      <x:c r="D18" s="34" t="str">
        <x:v>중요</x:v>
      </x:c>
      <x:c r="E18" s="34" t="str">
        <x:v>기본 동작</x:v>
      </x:c>
      <x:c r="F18" s="31" t="str">
        <x:v>크리에이터 상세 정보</x:v>
      </x:c>
      <x:c r="G18" s="31" t="str">
        <x:v>상세 진입</x:v>
      </x:c>
      <x:c r="H18" s="31" t="str">
        <x:v>상단 프로필 영역 확인</x:v>
      </x:c>
      <x:c r="I18" s="31" t="str">
        <x:v>프로필 이미지, 배경색, 이름, 핸들, 카테고리와 소개가 저장값과 일치한다.</x:v>
      </x:c>
      <x:c r="J18" s="37" t="str">
        <x:v>미실행</x:v>
      </x:c>
      <x:c r="K18" s="37" t="str"/>
      <x:c r="L18" s="31" t="str"/>
      <x:c r="M18" s="31" t="str"/>
      <x:c r="N18" s="31" t="str"/>
      <x:c r="O18" s="40"/>
      <x:c r="P18" s="31" t="str">
        <x:v>기획서 §5.2~5.3</x:v>
      </x:c>
      <x:c r="Q18" s="44" t="str"/>
    </x:row>
    <x:row r="19" ht="54" customHeight="1">
      <x:c r="A19" s="34" t="str">
        <x:v>QA-014</x:v>
      </x:c>
      <x:c r="B19" s="34" t="str">
        <x:v>크리에이터 탐색</x:v>
      </x:c>
      <x:c r="C19" s="34" t="str">
        <x:v>비회원</x:v>
      </x:c>
      <x:c r="D19" s="34" t="str">
        <x:v>중요</x:v>
      </x:c>
      <x:c r="E19" s="34" t="str">
        <x:v>기본 동작</x:v>
      </x:c>
      <x:c r="F19" s="31" t="str">
        <x:v>클래스·소개 탭</x:v>
      </x:c>
      <x:c r="G19" s="31" t="str">
        <x:v>상세 진입</x:v>
      </x:c>
      <x:c r="H19" s="31" t="str">
        <x:v>클래스와 소개 탭을 번갈아 선택</x:v>
      </x:c>
      <x:c r="I19" s="31" t="str">
        <x:v>선택 탭만 활성화되고 해당 내용이 표시된다.</x:v>
      </x:c>
      <x:c r="J19" s="37" t="str">
        <x:v>미실행</x:v>
      </x:c>
      <x:c r="K19" s="37" t="str"/>
      <x:c r="L19" s="31" t="str"/>
      <x:c r="M19" s="31" t="str"/>
      <x:c r="N19" s="31" t="str"/>
      <x:c r="O19" s="40"/>
      <x:c r="P19" s="31" t="str">
        <x:v>기획서 §5.2~5.3</x:v>
      </x:c>
      <x:c r="Q19" s="44" t="str"/>
    </x:row>
    <x:row r="20" ht="54" customHeight="1">
      <x:c r="A20" s="34" t="str">
        <x:v>QA-015</x:v>
      </x:c>
      <x:c r="B20" s="34" t="str">
        <x:v>크리에이터 탐색</x:v>
      </x:c>
      <x:c r="C20" s="34" t="str">
        <x:v>비회원</x:v>
      </x:c>
      <x:c r="D20" s="34" t="str">
        <x:v>중요</x:v>
      </x:c>
      <x:c r="E20" s="34" t="str">
        <x:v>내용 확인</x:v>
      </x:c>
      <x:c r="F20" s="31" t="str">
        <x:v>판매 가능한 클래스만 노출</x:v>
      </x:c>
      <x:c r="G20" s="31" t="str">
        <x:v>공개/비공개, 모집 전/중/완료 클래스 존재</x:v>
      </x:c>
      <x:c r="H20" s="31" t="str">
        <x:v>클래스 탭 확인</x:v>
      </x:c>
      <x:c r="I20" s="31" t="str">
        <x:v>공개이면서 모집 중인 클래스만 표시된다.</x:v>
      </x:c>
      <x:c r="J20" s="37" t="str">
        <x:v>미실행</x:v>
      </x:c>
      <x:c r="K20" s="37" t="str"/>
      <x:c r="L20" s="31" t="str"/>
      <x:c r="M20" s="31" t="str"/>
      <x:c r="N20" s="31" t="str"/>
      <x:c r="O20" s="40"/>
      <x:c r="P20" s="31" t="str">
        <x:v>기획서 §5.2~5.3</x:v>
      </x:c>
      <x:c r="Q20" s="44" t="str"/>
    </x:row>
    <x:row r="21" ht="54" customHeight="1">
      <x:c r="A21" s="34" t="str">
        <x:v>QA-016</x:v>
      </x:c>
      <x:c r="B21" s="34" t="str">
        <x:v>크리에이터 탐색</x:v>
      </x:c>
      <x:c r="C21" s="34" t="str">
        <x:v>비회원</x:v>
      </x:c>
      <x:c r="D21" s="34" t="str">
        <x:v>중요</x:v>
      </x:c>
      <x:c r="E21" s="34" t="str">
        <x:v>화면 표시</x:v>
      </x:c>
      <x:c r="F21" s="31" t="str">
        <x:v>클래스 레벨 배지</x:v>
      </x:c>
      <x:c r="G21" s="31" t="str">
        <x:v>클래스 카드 존재</x:v>
      </x:c>
      <x:c r="H21" s="31" t="str">
        <x:v>카드 배지 확인</x:v>
      </x:c>
      <x:c r="I21" s="31" t="str">
        <x:v>모집 상태가 아니라 저장된 난이도 또는 레벨 범위가 표시된다.</x:v>
      </x:c>
      <x:c r="J21" s="37" t="str">
        <x:v>미실행</x:v>
      </x:c>
      <x:c r="K21" s="37" t="str"/>
      <x:c r="L21" s="31" t="str"/>
      <x:c r="M21" s="31" t="str"/>
      <x:c r="N21" s="31" t="str"/>
      <x:c r="O21" s="40"/>
      <x:c r="P21" s="31" t="str">
        <x:v>기획서 §5.2~5.3</x:v>
      </x:c>
      <x:c r="Q21" s="44" t="str"/>
    </x:row>
    <x:row r="22" ht="54" customHeight="1">
      <x:c r="A22" s="34" t="str">
        <x:v>QA-017</x:v>
      </x:c>
      <x:c r="B22" s="34" t="str">
        <x:v>크리에이터 탐색</x:v>
      </x:c>
      <x:c r="C22" s="34" t="str">
        <x:v>비회원</x:v>
      </x:c>
      <x:c r="D22" s="34" t="str">
        <x:v>추가</x:v>
      </x:c>
      <x:c r="E22" s="34" t="str">
        <x:v>기본 동작</x:v>
      </x:c>
      <x:c r="F22" s="31" t="str">
        <x:v>페이지 공유</x:v>
      </x:c>
      <x:c r="G22" s="31" t="str">
        <x:v>상세 진입</x:v>
      </x:c>
      <x:c r="H22" s="31" t="str">
        <x:v>페이지 공유 실행 후 생성된 주소 확인</x:v>
      </x:c>
      <x:c r="I22" s="31" t="str">
        <x:v>현재 크리에이터 상세 주소를 공유할 수 있고 잘못된 페이지 주소가 복사되지 않는다.</x:v>
      </x:c>
      <x:c r="J22" s="37" t="str">
        <x:v>미실행</x:v>
      </x:c>
      <x:c r="K22" s="37" t="str"/>
      <x:c r="L22" s="31" t="str"/>
      <x:c r="M22" s="31" t="str"/>
      <x:c r="N22" s="31" t="str"/>
      <x:c r="O22" s="40"/>
      <x:c r="P22" s="31" t="str">
        <x:v>기획서 §5.2~5.3</x:v>
      </x:c>
      <x:c r="Q22" s="44" t="str"/>
    </x:row>
    <x:row r="23" ht="54" customHeight="1">
      <x:c r="A23" s="34" t="str">
        <x:v>QA-018</x:v>
      </x:c>
      <x:c r="B23" s="34" t="str">
        <x:v>크리에이터 탐색</x:v>
      </x:c>
      <x:c r="C23" s="34" t="str">
        <x:v>비회원</x:v>
      </x:c>
      <x:c r="D23" s="34" t="str">
        <x:v>중요</x:v>
      </x:c>
      <x:c r="E23" s="34" t="str">
        <x:v>내용 없음</x:v>
      </x:c>
      <x:c r="F23" s="31" t="str">
        <x:v>판매 가능 클래스 없음</x:v>
      </x:c>
      <x:c r="G23" s="31" t="str">
        <x:v>크리에이터에게 공개·모집 중 클래스가 없음</x:v>
      </x:c>
      <x:c r="H23" s="31" t="str">
        <x:v>크리에이터 상세 클래스 탭 진입</x:v>
      </x:c>
      <x:c r="I23" s="31" t="str">
        <x:v>빈 영역이 깨지지 않고 현재 신청 가능한 클래스가 없음을 안내한다.</x:v>
      </x:c>
      <x:c r="J23" s="37" t="str">
        <x:v>미실행</x:v>
      </x:c>
      <x:c r="K23" s="37" t="str"/>
      <x:c r="L23" s="31" t="str"/>
      <x:c r="M23" s="31" t="str"/>
      <x:c r="N23" s="31" t="str"/>
      <x:c r="O23" s="40"/>
      <x:c r="P23" s="31" t="str">
        <x:v>기획서 §5.2~5.3</x:v>
      </x:c>
      <x:c r="Q23" s="44" t="str"/>
    </x:row>
    <x:row r="24" ht="54" customHeight="1">
      <x:c r="A24" s="34" t="str">
        <x:v>QA-019</x:v>
      </x:c>
      <x:c r="B24" s="34" t="str">
        <x:v>클래스 상세</x:v>
      </x:c>
      <x:c r="C24" s="34" t="str">
        <x:v>비회원·미구매 사용자</x:v>
      </x:c>
      <x:c r="D24" s="34" t="str">
        <x:v>필수</x:v>
      </x:c>
      <x:c r="E24" s="34" t="str">
        <x:v>기본 동작</x:v>
      </x:c>
      <x:c r="F24" s="31" t="str">
        <x:v>클래스 상세 기본 정보</x:v>
      </x:c>
      <x:c r="G24" s="31" t="str">
        <x:v>공개·모집 중 클래스</x:v>
      </x:c>
      <x:c r="H24" s="31" t="str">
        <x:v>클래스 카드 선택</x:v>
      </x:c>
      <x:c r="I24" s="31" t="str">
        <x:v>제목, 설명, 수강 기간, 가격과 신청 주요 버튼가 저장값과 일치한다.</x:v>
      </x:c>
      <x:c r="J24" s="37" t="str">
        <x:v>미실행</x:v>
      </x:c>
      <x:c r="K24" s="37" t="str"/>
      <x:c r="L24" s="31" t="str"/>
      <x:c r="M24" s="31" t="str"/>
      <x:c r="N24" s="31" t="str"/>
      <x:c r="O24" s="40"/>
      <x:c r="P24" s="31" t="str">
        <x:v>기획서 §5.4</x:v>
      </x:c>
      <x:c r="Q24" s="44" t="str"/>
    </x:row>
    <x:row r="25" ht="54" customHeight="1">
      <x:c r="A25" s="34" t="str">
        <x:v>QA-020</x:v>
      </x:c>
      <x:c r="B25" s="34" t="str">
        <x:v>클래스 상세</x:v>
      </x:c>
      <x:c r="C25" s="34" t="str">
        <x:v>비회원·미구매 사용자</x:v>
      </x:c>
      <x:c r="D25" s="34" t="str">
        <x:v>중요</x:v>
      </x:c>
      <x:c r="E25" s="34" t="str">
        <x:v>화면 표시</x:v>
      </x:c>
      <x:c r="F25" s="31" t="str">
        <x:v>날짜 지정 모집 표시</x:v>
      </x:c>
      <x:c r="G25" s="31" t="str">
        <x:v>날짜 지정 모집 클래스</x:v>
      </x:c>
      <x:c r="H25" s="31" t="str">
        <x:v>모집 정보 확인</x:v>
      </x:c>
      <x:c r="I25" s="31" t="str">
        <x:v>모집 마감일이 표시된다.</x:v>
      </x:c>
      <x:c r="J25" s="37" t="str">
        <x:v>미실행</x:v>
      </x:c>
      <x:c r="K25" s="37" t="str"/>
      <x:c r="L25" s="31" t="str"/>
      <x:c r="M25" s="31" t="str"/>
      <x:c r="N25" s="31" t="str"/>
      <x:c r="O25" s="40"/>
      <x:c r="P25" s="31" t="str">
        <x:v>기획서 §5.4</x:v>
      </x:c>
      <x:c r="Q25" s="44" t="str"/>
    </x:row>
    <x:row r="26" ht="54" customHeight="1">
      <x:c r="A26" s="34" t="str">
        <x:v>QA-021</x:v>
      </x:c>
      <x:c r="B26" s="34" t="str">
        <x:v>클래스 상세</x:v>
      </x:c>
      <x:c r="C26" s="34" t="str">
        <x:v>비회원·미구매 사용자</x:v>
      </x:c>
      <x:c r="D26" s="34" t="str">
        <x:v>중요</x:v>
      </x:c>
      <x:c r="E26" s="34" t="str">
        <x:v>화면 표시</x:v>
      </x:c>
      <x:c r="F26" s="31" t="str">
        <x:v>상시 모집 표시</x:v>
      </x:c>
      <x:c r="G26" s="31" t="str">
        <x:v>상시 모집 클래스</x:v>
      </x:c>
      <x:c r="H26" s="31" t="str">
        <x:v>모집 정보 확인</x:v>
      </x:c>
      <x:c r="I26" s="31" t="str">
        <x:v>상시 모집 문구가 표시되고 잘못된 마감일이 노출되지 않는다.</x:v>
      </x:c>
      <x:c r="J26" s="37" t="str">
        <x:v>미실행</x:v>
      </x:c>
      <x:c r="K26" s="37" t="str"/>
      <x:c r="L26" s="31" t="str"/>
      <x:c r="M26" s="31" t="str"/>
      <x:c r="N26" s="31" t="str"/>
      <x:c r="O26" s="40"/>
      <x:c r="P26" s="31" t="str">
        <x:v>기획서 §5.4</x:v>
      </x:c>
      <x:c r="Q26" s="44" t="str"/>
    </x:row>
    <x:row r="27" ht="54" customHeight="1">
      <x:c r="A27" s="34" t="str">
        <x:v>QA-022</x:v>
      </x:c>
      <x:c r="B27" s="34" t="str">
        <x:v>클래스 상세</x:v>
      </x:c>
      <x:c r="C27" s="34" t="str">
        <x:v>비회원·미구매 사용자</x:v>
      </x:c>
      <x:c r="D27" s="34" t="str">
        <x:v>필수</x:v>
      </x:c>
      <x:c r="E27" s="34" t="str">
        <x:v>이용 가능 여부</x:v>
      </x:c>
      <x:c r="F27" s="31" t="str">
        <x:v>미구매 영상 상태</x:v>
      </x:c>
      <x:c r="G27" s="31" t="str">
        <x:v>비회원 또는 미구매 로그인 사용자</x:v>
      </x:c>
      <x:c r="H27" s="31" t="str">
        <x:v>콘텐츠 탭에서 영상 선택</x:v>
      </x:c>
      <x:c r="I27" s="31" t="str">
        <x:v>영상은 수강 후 이용으로 표시되고 직접 재생되지 않는다.</x:v>
      </x:c>
      <x:c r="J27" s="37" t="str">
        <x:v>미실행</x:v>
      </x:c>
      <x:c r="K27" s="37" t="str"/>
      <x:c r="L27" s="31" t="str"/>
      <x:c r="M27" s="31" t="str"/>
      <x:c r="N27" s="31" t="str"/>
      <x:c r="O27" s="40"/>
      <x:c r="P27" s="31" t="str">
        <x:v>기획서 §5.4</x:v>
      </x:c>
      <x:c r="Q27" s="44" t="str"/>
    </x:row>
    <x:row r="28" ht="54" customHeight="1">
      <x:c r="A28" s="34" t="str">
        <x:v>QA-023</x:v>
      </x:c>
      <x:c r="B28" s="34" t="str">
        <x:v>클래스 상세</x:v>
      </x:c>
      <x:c r="C28" s="34" t="str">
        <x:v>비회원·미구매 사용자</x:v>
      </x:c>
      <x:c r="D28" s="34" t="str">
        <x:v>필수</x:v>
      </x:c>
      <x:c r="E28" s="34" t="str">
        <x:v>이용 가능 여부</x:v>
      </x:c>
      <x:c r="F28" s="31" t="str">
        <x:v>미구매 자료 상태</x:v>
      </x:c>
      <x:c r="G28" s="31" t="str">
        <x:v>비회원 또는 미구매 로그인 사용자</x:v>
      </x:c>
      <x:c r="H28" s="31" t="str">
        <x:v>콘텐츠 탭에서 자료 선택</x:v>
      </x:c>
      <x:c r="I28" s="31" t="str">
        <x:v>자료는 수강 후 제공으로 표시되고 직접 다운로드되지 않는다.</x:v>
      </x:c>
      <x:c r="J28" s="37" t="str">
        <x:v>미실행</x:v>
      </x:c>
      <x:c r="K28" s="37" t="str"/>
      <x:c r="L28" s="31" t="str"/>
      <x:c r="M28" s="31" t="str"/>
      <x:c r="N28" s="31" t="str"/>
      <x:c r="O28" s="40"/>
      <x:c r="P28" s="31" t="str">
        <x:v>기획서 §5.4</x:v>
      </x:c>
      <x:c r="Q28" s="44" t="str"/>
    </x:row>
    <x:row r="29" ht="54" customHeight="1">
      <x:c r="A29" s="34" t="str">
        <x:v>QA-024</x:v>
      </x:c>
      <x:c r="B29" s="34" t="str">
        <x:v>클래스 상세</x:v>
      </x:c>
      <x:c r="C29" s="34" t="str">
        <x:v>비회원·미구매 사용자</x:v>
      </x:c>
      <x:c r="D29" s="34" t="str">
        <x:v>중요</x:v>
      </x:c>
      <x:c r="E29" s="34" t="str">
        <x:v>기본 동작</x:v>
      </x:c>
      <x:c r="F29" s="31" t="str">
        <x:v>FAQ 확인</x:v>
      </x:c>
      <x:c r="G29" s="31" t="str">
        <x:v>FAQ 등록 클래스</x:v>
      </x:c>
      <x:c r="H29" s="31" t="str">
        <x:v>FAQ 탭에서 질문 펼치기/접기</x:v>
      </x:c>
      <x:c r="I29" s="31" t="str">
        <x:v>선택한 답변만 정상 표시되고 반복 조작에도 레이아웃이 깨지지 않는다.</x:v>
      </x:c>
      <x:c r="J29" s="37" t="str">
        <x:v>미실행</x:v>
      </x:c>
      <x:c r="K29" s="37" t="str"/>
      <x:c r="L29" s="31" t="str"/>
      <x:c r="M29" s="31" t="str"/>
      <x:c r="N29" s="31" t="str"/>
      <x:c r="O29" s="40"/>
      <x:c r="P29" s="31" t="str">
        <x:v>기획서 §5.4</x:v>
      </x:c>
      <x:c r="Q29" s="44" t="str"/>
    </x:row>
    <x:row r="30" ht="54" customHeight="1">
      <x:c r="A30" s="34" t="str">
        <x:v>QA-025</x:v>
      </x:c>
      <x:c r="B30" s="34" t="str">
        <x:v>클래스 상세</x:v>
      </x:c>
      <x:c r="C30" s="34" t="str">
        <x:v>비회원·미구매 사용자</x:v>
      </x:c>
      <x:c r="D30" s="34" t="str">
        <x:v>필수</x:v>
      </x:c>
      <x:c r="E30" s="34" t="str">
        <x:v>안내 내용</x:v>
      </x:c>
      <x:c r="F30" s="31" t="str">
        <x:v>공통 환불 규정</x:v>
      </x:c>
      <x:c r="G30" s="31" t="str">
        <x:v>클래스 상세 진입</x:v>
      </x:c>
      <x:c r="H30" s="31" t="str">
        <x:v>환불 규정 탭과 자세히 보기 선택</x:v>
      </x:c>
      <x:c r="I30" s="31" t="str">
        <x:v>플랫폼 공통 규정이 읽기 전용으로 표시되고 클래스별 수정 문구가 없다.</x:v>
      </x:c>
      <x:c r="J30" s="37" t="str">
        <x:v>미실행</x:v>
      </x:c>
      <x:c r="K30" s="37" t="str"/>
      <x:c r="L30" s="31" t="str"/>
      <x:c r="M30" s="31" t="str"/>
      <x:c r="N30" s="31" t="str"/>
      <x:c r="O30" s="40"/>
      <x:c r="P30" s="31" t="str">
        <x:v>기획서 §5.4</x:v>
      </x:c>
      <x:c r="Q30" s="44" t="str"/>
    </x:row>
    <x:row r="31" ht="54" customHeight="1">
      <x:c r="A31" s="34" t="str">
        <x:v>QA-026</x:v>
      </x:c>
      <x:c r="B31" s="34" t="str">
        <x:v>클래스 상세</x:v>
      </x:c>
      <x:c r="C31" s="34" t="str">
        <x:v>비회원·미구매 사용자</x:v>
      </x:c>
      <x:c r="D31" s="34" t="str">
        <x:v>필수</x:v>
      </x:c>
      <x:c r="E31" s="34" t="str">
        <x:v>로그인</x:v>
      </x:c>
      <x:c r="F31" s="31" t="str">
        <x:v>로그아웃 사용자의 클래스 신청</x:v>
      </x:c>
      <x:c r="G31" s="31" t="str">
        <x:v>로그아웃 상태</x:v>
      </x:c>
      <x:c r="H31" s="31" t="str">
        <x:v>클래스 신청 선택</x:v>
      </x:c>
      <x:c r="I31" s="31" t="str">
        <x:v>로그인 화면으로 이동하고 로그인 완료 후 원래 신청 흐름으로 복귀할 수 있다.</x:v>
      </x:c>
      <x:c r="J31" s="37" t="str">
        <x:v>미실행</x:v>
      </x:c>
      <x:c r="K31" s="37" t="str"/>
      <x:c r="L31" s="31" t="str"/>
      <x:c r="M31" s="31" t="str"/>
      <x:c r="N31" s="31" t="str"/>
      <x:c r="O31" s="40"/>
      <x:c r="P31" s="31" t="str">
        <x:v>기획서 §5.4</x:v>
      </x:c>
      <x:c r="Q31" s="44" t="str"/>
    </x:row>
    <x:row r="32" ht="54" customHeight="1">
      <x:c r="A32" s="34" t="str">
        <x:v>QA-027</x:v>
      </x:c>
      <x:c r="B32" s="34" t="str">
        <x:v>클래스 상세</x:v>
      </x:c>
      <x:c r="C32" s="34" t="str">
        <x:v>비회원·미구매 사용자</x:v>
      </x:c>
      <x:c r="D32" s="34" t="str">
        <x:v>필수</x:v>
      </x:c>
      <x:c r="E32" s="34" t="str">
        <x:v>이용 가능 여부</x:v>
      </x:c>
      <x:c r="F32" s="31" t="str">
        <x:v>비공개 클래스 직접 주소</x:v>
      </x:c>
      <x:c r="G32" s="31" t="str">
        <x:v>비공개 클래스 주소 확보</x:v>
      </x:c>
      <x:c r="H32" s="31" t="str">
        <x:v>주소로 직접 접속</x:v>
      </x:c>
      <x:c r="I32" s="31" t="str">
        <x:v>판매 상세와 결제를 노출하지 않고 안전한 안내 화면으로 이동한다.</x:v>
      </x:c>
      <x:c r="J32" s="37" t="str">
        <x:v>미실행</x:v>
      </x:c>
      <x:c r="K32" s="37" t="str"/>
      <x:c r="L32" s="31" t="str"/>
      <x:c r="M32" s="31" t="str"/>
      <x:c r="N32" s="31" t="str"/>
      <x:c r="O32" s="40"/>
      <x:c r="P32" s="31" t="str">
        <x:v>기획서 §5.4</x:v>
      </x:c>
      <x:c r="Q32" s="44" t="str"/>
    </x:row>
    <x:row r="33" ht="54" customHeight="1">
      <x:c r="A33" s="34" t="str">
        <x:v>QA-028</x:v>
      </x:c>
      <x:c r="B33" s="34" t="str">
        <x:v>클래스 상세</x:v>
      </x:c>
      <x:c r="C33" s="34" t="str">
        <x:v>비회원·미구매 사용자</x:v>
      </x:c>
      <x:c r="D33" s="34" t="str">
        <x:v>필수</x:v>
      </x:c>
      <x:c r="E33" s="34" t="str">
        <x:v>이용 가능 여부</x:v>
      </x:c>
      <x:c r="F33" s="31" t="str">
        <x:v>모집 전·종료 클래스 결제 차단</x:v>
      </x:c>
      <x:c r="G33" s="31" t="str">
        <x:v>날짜 경계 전후 테스트 데이터</x:v>
      </x:c>
      <x:c r="H33" s="31" t="str">
        <x:v>직접 주소에서 신청 시도</x:v>
      </x:c>
      <x:c r="I33" s="31" t="str">
        <x:v>상세 정책에 맞는 상태 안내 후 신규 결제가 시작되지 않는다.</x:v>
      </x:c>
      <x:c r="J33" s="37" t="str">
        <x:v>미실행</x:v>
      </x:c>
      <x:c r="K33" s="37" t="str"/>
      <x:c r="L33" s="31" t="str"/>
      <x:c r="M33" s="31" t="str"/>
      <x:c r="N33" s="31" t="str"/>
      <x:c r="O33" s="40"/>
      <x:c r="P33" s="31" t="str">
        <x:v>기획서 §5.4</x:v>
      </x:c>
      <x:c r="Q33" s="44" t="str"/>
    </x:row>
    <x:row r="34" ht="54" customHeight="1">
      <x:c r="A34" s="34" t="str">
        <x:v>QA-029</x:v>
      </x:c>
      <x:c r="B34" s="34" t="str">
        <x:v>로그인·결제</x:v>
      </x:c>
      <x:c r="C34" s="34" t="str">
        <x:v>로그인한 미구매 사용자</x:v>
      </x:c>
      <x:c r="D34" s="34" t="str">
        <x:v>필수</x:v>
      </x:c>
      <x:c r="E34" s="34" t="str">
        <x:v>로그인</x:v>
      </x:c>
      <x:c r="F34" s="31" t="str">
        <x:v>공통 카카오 로그인</x:v>
      </x:c>
      <x:c r="G34" s="31" t="str">
        <x:v>로그아웃 상태</x:v>
      </x:c>
      <x:c r="H34" s="31" t="str">
        <x:v>서로 다른 로그인 진입점에서 로그인 선택</x:v>
      </x:c>
      <x:c r="I34" s="31" t="str">
        <x:v>모든 진입점이 동일한 카카오 로그인 흐름을 사용한다.</x:v>
      </x:c>
      <x:c r="J34" s="37" t="str">
        <x:v>미실행</x:v>
      </x:c>
      <x:c r="K34" s="37" t="str"/>
      <x:c r="L34" s="31" t="str"/>
      <x:c r="M34" s="31" t="str"/>
      <x:c r="N34" s="31" t="str"/>
      <x:c r="O34" s="40"/>
      <x:c r="P34" s="31" t="str">
        <x:v>기획서 §4.9, §5.4, §14.4~14.5</x:v>
      </x:c>
      <x:c r="Q34" s="44" t="str"/>
    </x:row>
    <x:row r="35" ht="54" customHeight="1">
      <x:c r="A35" s="34" t="str">
        <x:v>QA-030</x:v>
      </x:c>
      <x:c r="B35" s="34" t="str">
        <x:v>로그인·결제</x:v>
      </x:c>
      <x:c r="C35" s="34" t="str">
        <x:v>로그인한 미구매 사용자</x:v>
      </x:c>
      <x:c r="D35" s="34" t="str">
        <x:v>필수</x:v>
      </x:c>
      <x:c r="E35" s="34" t="str">
        <x:v>로그인</x:v>
      </x:c>
      <x:c r="F35" s="31" t="str">
        <x:v>로그인 후 원래 화면 복귀</x:v>
      </x:c>
      <x:c r="G35" s="31" t="str">
        <x:v>클래스 신청 중 로그인 필요</x:v>
      </x:c>
      <x:c r="H35" s="31" t="str">
        <x:v>로그인 완료</x:v>
      </x:c>
      <x:c r="I35" s="31" t="str">
        <x:v>홈으로 강제 이동하지 않고 요청했던 클래스 신청 흐름으로 복귀한다.</x:v>
      </x:c>
      <x:c r="J35" s="37" t="str">
        <x:v>미실행</x:v>
      </x:c>
      <x:c r="K35" s="37" t="str"/>
      <x:c r="L35" s="31" t="str"/>
      <x:c r="M35" s="31" t="str"/>
      <x:c r="N35" s="31" t="str"/>
      <x:c r="O35" s="40"/>
      <x:c r="P35" s="31" t="str">
        <x:v>기획서 §4.9, §5.4, §14.4~14.5</x:v>
      </x:c>
      <x:c r="Q35" s="44" t="str"/>
    </x:row>
    <x:row r="36" ht="54" customHeight="1">
      <x:c r="A36" s="34" t="str">
        <x:v>QA-031</x:v>
      </x:c>
      <x:c r="B36" s="34" t="str">
        <x:v>로그인·결제</x:v>
      </x:c>
      <x:c r="C36" s="34" t="str">
        <x:v>로그인한 미구매 사용자</x:v>
      </x:c>
      <x:c r="D36" s="34" t="str">
        <x:v>필수</x:v>
      </x:c>
      <x:c r="E36" s="34" t="str">
        <x:v>기본 동작</x:v>
      </x:c>
      <x:c r="F36" s="31" t="str">
        <x:v>결제 팝업 표시</x:v>
      </x:c>
      <x:c r="G36" s="31" t="str">
        <x:v>로그인·공개·모집 중·조건 충족</x:v>
      </x:c>
      <x:c r="H36" s="31" t="str">
        <x:v>클래스 신청 선택</x:v>
      </x:c>
      <x:c r="I36" s="31" t="str">
        <x:v>현재 화면 위에 결제 팝업이 표시되고 클래스명과 최종 금액이 일치한다.</x:v>
      </x:c>
      <x:c r="J36" s="37" t="str">
        <x:v>미실행</x:v>
      </x:c>
      <x:c r="K36" s="37" t="str"/>
      <x:c r="L36" s="31" t="str"/>
      <x:c r="M36" s="31" t="str"/>
      <x:c r="N36" s="31" t="str"/>
      <x:c r="O36" s="40"/>
      <x:c r="P36" s="31" t="str">
        <x:v>기획서 §4.9, §5.4, §14.4~14.5</x:v>
      </x:c>
      <x:c r="Q36" s="44" t="str"/>
    </x:row>
    <x:row r="37" ht="54" customHeight="1">
      <x:c r="A37" s="34" t="str">
        <x:v>QA-032</x:v>
      </x:c>
      <x:c r="B37" s="34" t="str">
        <x:v>로그인·결제</x:v>
      </x:c>
      <x:c r="C37" s="34" t="str">
        <x:v>로그인한 미구매 사용자</x:v>
      </x:c>
      <x:c r="D37" s="34" t="str">
        <x:v>중요</x:v>
      </x:c>
      <x:c r="E37" s="34" t="str">
        <x:v>기본 동작</x:v>
      </x:c>
      <x:c r="F37" s="31" t="str">
        <x:v>결제 수단 선택</x:v>
      </x:c>
      <x:c r="G37" s="31" t="str">
        <x:v>결제 팝업 표시</x:v>
      </x:c>
      <x:c r="H37" s="31" t="str">
        <x:v>신용카드와 계좌이체를 각각 선택</x:v>
      </x:c>
      <x:c r="I37" s="31" t="str">
        <x:v>한 번에 하나의 결제 수단만 선택되고 선택 상태가 명확하다.</x:v>
      </x:c>
      <x:c r="J37" s="37" t="str">
        <x:v>미실행</x:v>
      </x:c>
      <x:c r="K37" s="37" t="str"/>
      <x:c r="L37" s="31" t="str"/>
      <x:c r="M37" s="31" t="str"/>
      <x:c r="N37" s="31" t="str"/>
      <x:c r="O37" s="40"/>
      <x:c r="P37" s="31" t="str">
        <x:v>기획서 §4.9, §5.4, §14.4~14.5</x:v>
      </x:c>
      <x:c r="Q37" s="44" t="str"/>
    </x:row>
    <x:row r="38" ht="54" customHeight="1">
      <x:c r="A38" s="34" t="str">
        <x:v>QA-033</x:v>
      </x:c>
      <x:c r="B38" s="34" t="str">
        <x:v>로그인·결제</x:v>
      </x:c>
      <x:c r="C38" s="34" t="str">
        <x:v>로그인한 미구매 사용자</x:v>
      </x:c>
      <x:c r="D38" s="34" t="str">
        <x:v>필수</x:v>
      </x:c>
      <x:c r="E38" s="34" t="str">
        <x:v>입력 확인</x:v>
      </x:c>
      <x:c r="F38" s="31" t="str">
        <x:v>수강 조건 미충족</x:v>
      </x:c>
      <x:c r="G38" s="31" t="str">
        <x:v>선수 클래스가 필요한 클래스, 조건 미충족 계정</x:v>
      </x:c>
      <x:c r="H38" s="31" t="str">
        <x:v>신청 시도</x:v>
      </x:c>
      <x:c r="I38" s="31" t="str">
        <x:v>필요한 조건을 안내하고 결제 서비스를 시작하지 않는다.</x:v>
      </x:c>
      <x:c r="J38" s="37" t="str">
        <x:v>미실행</x:v>
      </x:c>
      <x:c r="K38" s="37" t="str"/>
      <x:c r="L38" s="31" t="str"/>
      <x:c r="M38" s="31" t="str"/>
      <x:c r="N38" s="31" t="str"/>
      <x:c r="O38" s="40"/>
      <x:c r="P38" s="31" t="str">
        <x:v>기획서 §4.9, §5.4, §14.4~14.5</x:v>
      </x:c>
      <x:c r="Q38" s="44" t="str"/>
    </x:row>
    <x:row r="39" ht="54" customHeight="1">
      <x:c r="A39" s="34" t="str">
        <x:v>QA-034</x:v>
      </x:c>
      <x:c r="B39" s="34" t="str">
        <x:v>로그인·결제</x:v>
      </x:c>
      <x:c r="C39" s="34" t="str">
        <x:v>로그인한 미구매 사용자</x:v>
      </x:c>
      <x:c r="D39" s="34" t="str">
        <x:v>필수</x:v>
      </x:c>
      <x:c r="E39" s="34" t="str">
        <x:v>입력 확인</x:v>
      </x:c>
      <x:c r="F39" s="31" t="str">
        <x:v>서비스 가격 다시 확인</x:v>
      </x:c>
      <x:c r="G39" s="31" t="str">
        <x:v>사용자 화면 요청 금액 변조</x:v>
      </x:c>
      <x:c r="H39" s="31" t="str">
        <x:v>결제 요청 전송</x:v>
      </x:c>
      <x:c r="I39" s="31" t="str">
        <x:v>서비스에 저장된 가격과 다르면 결제를 거부하고 강의를 들을 수 있는 상태를 생성하지 않는다.</x:v>
      </x:c>
      <x:c r="J39" s="37" t="str">
        <x:v>미실행</x:v>
      </x:c>
      <x:c r="K39" s="37" t="str"/>
      <x:c r="L39" s="31" t="str"/>
      <x:c r="M39" s="31" t="str"/>
      <x:c r="N39" s="31" t="str"/>
      <x:c r="O39" s="40"/>
      <x:c r="P39" s="31" t="str">
        <x:v>기획서 §4.9, §5.4, §14.4~14.5</x:v>
      </x:c>
      <x:c r="Q39" s="44" t="str"/>
    </x:row>
    <x:row r="40" ht="54" customHeight="1">
      <x:c r="A40" s="34" t="str">
        <x:v>QA-035</x:v>
      </x:c>
      <x:c r="B40" s="34" t="str">
        <x:v>로그인·결제</x:v>
      </x:c>
      <x:c r="C40" s="34" t="str">
        <x:v>로그인한 미구매 사용자</x:v>
      </x:c>
      <x:c r="D40" s="34" t="str">
        <x:v>필수</x:v>
      </x:c>
      <x:c r="E40" s="34" t="str">
        <x:v>결제</x:v>
      </x:c>
      <x:c r="F40" s="31" t="str">
        <x:v>결제 성공</x:v>
      </x:c>
      <x:c r="G40" s="31" t="str">
        <x:v>정상 결제 테스트 환경</x:v>
      </x:c>
      <x:c r="H40" s="31" t="str">
        <x:v>결제 완료</x:v>
      </x:c>
      <x:c r="I40" s="31" t="str">
        <x:v>서비스가 결제 상태를 확인한 뒤 주문과 강의를 들을 수 있는 상태를 만들고 내 학습으로 이동한다.</x:v>
      </x:c>
      <x:c r="J40" s="37" t="str">
        <x:v>미실행</x:v>
      </x:c>
      <x:c r="K40" s="37" t="str"/>
      <x:c r="L40" s="31" t="str"/>
      <x:c r="M40" s="31" t="str"/>
      <x:c r="N40" s="31" t="str"/>
      <x:c r="O40" s="40"/>
      <x:c r="P40" s="31" t="str">
        <x:v>기획서 §4.9, §5.4, §14.4~14.5</x:v>
      </x:c>
      <x:c r="Q40" s="44" t="str"/>
    </x:row>
    <x:row r="41" ht="54" customHeight="1">
      <x:c r="A41" s="34" t="str">
        <x:v>QA-036</x:v>
      </x:c>
      <x:c r="B41" s="34" t="str">
        <x:v>로그인·결제</x:v>
      </x:c>
      <x:c r="C41" s="34" t="str">
        <x:v>로그인한 미구매 사용자</x:v>
      </x:c>
      <x:c r="D41" s="34" t="str">
        <x:v>필수</x:v>
      </x:c>
      <x:c r="E41" s="34" t="str">
        <x:v>결제</x:v>
      </x:c>
      <x:c r="F41" s="31" t="str">
        <x:v>결제 실패</x:v>
      </x:c>
      <x:c r="G41" s="31" t="str">
        <x:v>결제 실패 응답</x:v>
      </x:c>
      <x:c r="H41" s="31" t="str">
        <x:v>결제 진행</x:v>
      </x:c>
      <x:c r="I41" s="31" t="str">
        <x:v>실패를 안내하고 주문을 결제 완료로 표시하거나 강의를 들을 수 있는 상태를 생성하지 않는다.</x:v>
      </x:c>
      <x:c r="J41" s="37" t="str">
        <x:v>미실행</x:v>
      </x:c>
      <x:c r="K41" s="37" t="str"/>
      <x:c r="L41" s="31" t="str"/>
      <x:c r="M41" s="31" t="str"/>
      <x:c r="N41" s="31" t="str"/>
      <x:c r="O41" s="40"/>
      <x:c r="P41" s="31" t="str">
        <x:v>기획서 §4.9, §5.4, §14.4~14.5</x:v>
      </x:c>
      <x:c r="Q41" s="44" t="str"/>
    </x:row>
    <x:row r="42" ht="54" customHeight="1">
      <x:c r="A42" s="34" t="str">
        <x:v>QA-037</x:v>
      </x:c>
      <x:c r="B42" s="34" t="str">
        <x:v>로그인·결제</x:v>
      </x:c>
      <x:c r="C42" s="34" t="str">
        <x:v>로그인한 미구매 사용자</x:v>
      </x:c>
      <x:c r="D42" s="34" t="str">
        <x:v>필수</x:v>
      </x:c>
      <x:c r="E42" s="34" t="str">
        <x:v>결제</x:v>
      </x:c>
      <x:c r="F42" s="31" t="str">
        <x:v>결제 사용자 취소</x:v>
      </x:c>
      <x:c r="G42" s="31" t="str">
        <x:v>결제 서비스창 표시</x:v>
      </x:c>
      <x:c r="H42" s="31" t="str">
        <x:v>사용자가 취소</x:v>
      </x:c>
      <x:c r="I42" s="31" t="str">
        <x:v>팝업 흐름을 안전하게 종료하고 완료 주문이나 강의를 들을 수 있는 상태를 만들지 않는다.</x:v>
      </x:c>
      <x:c r="J42" s="37" t="str">
        <x:v>미실행</x:v>
      </x:c>
      <x:c r="K42" s="37" t="str"/>
      <x:c r="L42" s="31" t="str"/>
      <x:c r="M42" s="31" t="str"/>
      <x:c r="N42" s="31" t="str"/>
      <x:c r="O42" s="40"/>
      <x:c r="P42" s="31" t="str">
        <x:v>기획서 §4.9, §5.4, §14.4~14.5</x:v>
      </x:c>
      <x:c r="Q42" s="44" t="str"/>
    </x:row>
    <x:row r="43" ht="54" customHeight="1">
      <x:c r="A43" s="34" t="str">
        <x:v>QA-038</x:v>
      </x:c>
      <x:c r="B43" s="34" t="str">
        <x:v>로그인·결제</x:v>
      </x:c>
      <x:c r="C43" s="34" t="str">
        <x:v>로그인한 미구매 사용자</x:v>
      </x:c>
      <x:c r="D43" s="34" t="str">
        <x:v>필수</x:v>
      </x:c>
      <x:c r="E43" s="34" t="str">
        <x:v>중복 확인</x:v>
      </x:c>
      <x:c r="F43" s="31" t="str">
        <x:v>결제 완료 결제 완료 신호 중복</x:v>
      </x:c>
      <x:c r="G43" s="31" t="str">
        <x:v>같은 결제 결과를 2회 전달</x:v>
      </x:c>
      <x:c r="H43" s="31" t="str">
        <x:v>결제 완료 신호 재전송</x:v>
      </x:c>
      <x:c r="I43" s="31" t="str">
        <x:v>주문과 강의를 들을 수 있는 상태가 한 번만 생성된다.</x:v>
      </x:c>
      <x:c r="J43" s="37" t="str">
        <x:v>미실행</x:v>
      </x:c>
      <x:c r="K43" s="37" t="str"/>
      <x:c r="L43" s="31" t="str"/>
      <x:c r="M43" s="31" t="str"/>
      <x:c r="N43" s="31" t="str"/>
      <x:c r="O43" s="40"/>
      <x:c r="P43" s="31" t="str">
        <x:v>기획서 §4.9, §5.4, §14.4~14.5</x:v>
      </x:c>
      <x:c r="Q43" s="44" t="str"/>
    </x:row>
    <x:row r="44" ht="54" customHeight="1">
      <x:c r="A44" s="34" t="str">
        <x:v>QA-039</x:v>
      </x:c>
      <x:c r="B44" s="34" t="str">
        <x:v>로그인·결제</x:v>
      </x:c>
      <x:c r="C44" s="34" t="str">
        <x:v>로그인한 미구매 사용자</x:v>
      </x:c>
      <x:c r="D44" s="34" t="str">
        <x:v>중요</x:v>
      </x:c>
      <x:c r="E44" s="34" t="str">
        <x:v>오류 후 다시 시도</x:v>
      </x:c>
      <x:c r="F44" s="31" t="str">
        <x:v>결제 결과 처리가 늦을 때</x:v>
      </x:c>
      <x:c r="G44" s="31" t="str">
        <x:v>결제 성공 후 화면 처리가 늦을 때</x:v>
      </x:c>
      <x:c r="H44" s="31" t="str">
        <x:v>새로고침 또는 재접속</x:v>
      </x:c>
      <x:c r="I44" s="31" t="str">
        <x:v>서비스에 저장된 주문 상태를 조회해 최종 결과를 복구하고 이중 결제를 유도하지 않는다.</x:v>
      </x:c>
      <x:c r="J44" s="37" t="str">
        <x:v>미실행</x:v>
      </x:c>
      <x:c r="K44" s="37" t="str"/>
      <x:c r="L44" s="31" t="str"/>
      <x:c r="M44" s="31" t="str"/>
      <x:c r="N44" s="31" t="str"/>
      <x:c r="O44" s="40"/>
      <x:c r="P44" s="31" t="str">
        <x:v>기획서 §4.9, §5.4, §14.4~14.5</x:v>
      </x:c>
      <x:c r="Q44" s="44" t="str"/>
    </x:row>
    <x:row r="45" ht="54" customHeight="1">
      <x:c r="A45" s="34" t="str">
        <x:v>QA-040</x:v>
      </x:c>
      <x:c r="B45" s="34" t="str">
        <x:v>로그인·결제</x:v>
      </x:c>
      <x:c r="C45" s="34" t="str">
        <x:v>로그인한 미구매 사용자</x:v>
      </x:c>
      <x:c r="D45" s="34" t="str">
        <x:v>필수</x:v>
      </x:c>
      <x:c r="E45" s="34" t="str">
        <x:v>이용 가능 여부</x:v>
      </x:c>
      <x:c r="F45" s="31" t="str">
        <x:v>지정 기간 강의를 들을 수 있는 상태</x:v>
      </x:c>
      <x:c r="G45" s="31" t="str">
        <x:v>지정 기간 클래스 결제 완료</x:v>
      </x:c>
      <x:c r="H45" s="31" t="str">
        <x:v>수강 시작 전·기간 중·종료 후 접속</x:v>
      </x:c>
      <x:c r="I45" s="31" t="str">
        <x:v>각 시점에 수강 대기·수강 중·수강 종료 상태가 정확하다.</x:v>
      </x:c>
      <x:c r="J45" s="37" t="str">
        <x:v>미실행</x:v>
      </x:c>
      <x:c r="K45" s="37" t="str"/>
      <x:c r="L45" s="31" t="str"/>
      <x:c r="M45" s="31" t="str"/>
      <x:c r="N45" s="31" t="str"/>
      <x:c r="O45" s="40"/>
      <x:c r="P45" s="31" t="str">
        <x:v>기획서 §4.9, §5.4, §14.4~14.5</x:v>
      </x:c>
      <x:c r="Q45" s="44" t="str"/>
    </x:row>
    <x:row r="46" ht="54" customHeight="1">
      <x:c r="A46" s="34" t="str">
        <x:v>QA-041</x:v>
      </x:c>
      <x:c r="B46" s="34" t="str">
        <x:v>로그인·결제</x:v>
      </x:c>
      <x:c r="C46" s="34" t="str">
        <x:v>로그인한 미구매 사용자</x:v>
      </x:c>
      <x:c r="D46" s="34" t="str">
        <x:v>필수</x:v>
      </x:c>
      <x:c r="E46" s="34" t="str">
        <x:v>이용 가능 여부</x:v>
      </x:c>
      <x:c r="F46" s="31" t="str">
        <x:v>결제 즉시 수강 기간</x:v>
      </x:c>
      <x:c r="G46" s="31" t="str">
        <x:v>결제 즉시 수강 클래스</x:v>
      </x:c>
      <x:c r="H46" s="31" t="str">
        <x:v>서로 다른 시각에 결제 후 종료일 확인</x:v>
      </x:c>
      <x:c r="I46" s="31" t="str">
        <x:v>각 결제 시점부터 설정 일수만큼 개인별 수강 기간이 계산된다.</x:v>
      </x:c>
      <x:c r="J46" s="37" t="str">
        <x:v>미실행</x:v>
      </x:c>
      <x:c r="K46" s="37" t="str"/>
      <x:c r="L46" s="31" t="str"/>
      <x:c r="M46" s="31" t="str"/>
      <x:c r="N46" s="31" t="str"/>
      <x:c r="O46" s="40"/>
      <x:c r="P46" s="31" t="str">
        <x:v>기획서 §4.9, §5.4, §14.4~14.5</x:v>
      </x:c>
      <x:c r="Q46" s="44" t="str"/>
    </x:row>
    <x:row r="47" ht="54" customHeight="1">
      <x:c r="A47" s="34" t="str">
        <x:v>QA-042</x:v>
      </x:c>
      <x:c r="B47" s="34" t="str">
        <x:v>로그인·결제</x:v>
      </x:c>
      <x:c r="C47" s="34" t="str">
        <x:v>로그인한 미구매 사용자</x:v>
      </x:c>
      <x:c r="D47" s="34" t="str">
        <x:v>필수</x:v>
      </x:c>
      <x:c r="E47" s="34" t="str">
        <x:v>이용 가능 여부</x:v>
      </x:c>
      <x:c r="F47" s="31" t="str">
        <x:v>비공개 전환 후 기존 구매자</x:v>
      </x:c>
      <x:c r="G47" s="31" t="str">
        <x:v>구매 후 크리에이터가 클래스를 비공개 전환</x:v>
      </x:c>
      <x:c r="H47" s="31" t="str">
        <x:v>기존 구매 계정으로 내 학습 진입</x:v>
      </x:c>
      <x:c r="I47" s="31" t="str">
        <x:v>신규 판매는 중단되지만 기존 권한 기간 동안 수강할 수 있다.</x:v>
      </x:c>
      <x:c r="J47" s="37" t="str">
        <x:v>미실행</x:v>
      </x:c>
      <x:c r="K47" s="37" t="str"/>
      <x:c r="L47" s="31" t="str"/>
      <x:c r="M47" s="31" t="str"/>
      <x:c r="N47" s="31" t="str"/>
      <x:c r="O47" s="40"/>
      <x:c r="P47" s="31" t="str">
        <x:v>기획서 §4.9, §5.4, §14.4~14.5</x:v>
      </x:c>
      <x:c r="Q47" s="44" t="str"/>
    </x:row>
    <x:row r="48" ht="54" customHeight="1">
      <x:c r="A48" s="34" t="str">
        <x:v>QA-043</x:v>
      </x:c>
      <x:c r="B48" s="34" t="str">
        <x:v>로그인·결제</x:v>
      </x:c>
      <x:c r="C48" s="34" t="str">
        <x:v>로그인한 미구매 사용자</x:v>
      </x:c>
      <x:c r="D48" s="34" t="str">
        <x:v>필수</x:v>
      </x:c>
      <x:c r="E48" s="34" t="str">
        <x:v>안전 확인</x:v>
      </x:c>
      <x:c r="F48" s="31" t="str">
        <x:v>다른 사용자의 주문·권한 사용</x:v>
      </x:c>
      <x:c r="G48" s="31" t="str">
        <x:v>두 사용자 계정과 주문 구분값</x:v>
      </x:c>
      <x:c r="H48" s="31" t="str">
        <x:v>A 사용자가 B의 주문/권한 주소 요청</x:v>
      </x:c>
      <x:c r="I48" s="31" t="str">
        <x:v>서비스가 접근을 막고 B의 정보나 콘텐츠를 노출하지 않는다.</x:v>
      </x:c>
      <x:c r="J48" s="37" t="str">
        <x:v>미실행</x:v>
      </x:c>
      <x:c r="K48" s="37" t="str"/>
      <x:c r="L48" s="31" t="str"/>
      <x:c r="M48" s="31" t="str"/>
      <x:c r="N48" s="31" t="str"/>
      <x:c r="O48" s="40"/>
      <x:c r="P48" s="31" t="str">
        <x:v>기획서 §4.9, §5.4, §14.4~14.5</x:v>
      </x:c>
      <x:c r="Q48" s="44" t="str"/>
    </x:row>
    <x:row r="49" ht="54" customHeight="1">
      <x:c r="A49" s="34" t="str">
        <x:v>QA-044</x:v>
      </x:c>
      <x:c r="B49" s="34" t="str">
        <x:v>내 학습</x:v>
      </x:c>
      <x:c r="C49" s="34" t="str">
        <x:v>수강 내역이 없는 로그인 사용자</x:v>
      </x:c>
      <x:c r="D49" s="34" t="str">
        <x:v>필수</x:v>
      </x:c>
      <x:c r="E49" s="34" t="str">
        <x:v>내용 없음</x:v>
      </x:c>
      <x:c r="F49" s="31" t="str">
        <x:v>강의를 들을 수 있는 상태 없음</x:v>
      </x:c>
      <x:c r="G49" s="31" t="str">
        <x:v>로그인했지만 지금 강의를 들을 수 있는 상태 없음</x:v>
      </x:c>
      <x:c r="H49" s="31" t="str">
        <x:v>내 학습 진입</x:v>
      </x:c>
      <x:c r="I49" s="31" t="str">
        <x:v>수강 중·수강 종료 건수가 0이고 안내형 빈 화면이 표시된다.</x:v>
      </x:c>
      <x:c r="J49" s="37" t="str">
        <x:v>미실행</x:v>
      </x:c>
      <x:c r="K49" s="37" t="str"/>
      <x:c r="L49" s="31" t="str"/>
      <x:c r="M49" s="31" t="str"/>
      <x:c r="N49" s="31" t="str"/>
      <x:c r="O49" s="40"/>
      <x:c r="P49" s="31" t="str">
        <x:v>기획서 §5.5</x:v>
      </x:c>
      <x:c r="Q49" s="44" t="str"/>
    </x:row>
    <x:row r="50" ht="54" customHeight="1">
      <x:c r="A50" s="34" t="str">
        <x:v>QA-045</x:v>
      </x:c>
      <x:c r="B50" s="34" t="str">
        <x:v>내 학습</x:v>
      </x:c>
      <x:c r="C50" s="34" t="str">
        <x:v>수강 내역이 없는 로그인 사용자</x:v>
      </x:c>
      <x:c r="D50" s="34" t="str">
        <x:v>중요</x:v>
      </x:c>
      <x:c r="E50" s="34" t="str">
        <x:v>화면 이동</x:v>
      </x:c>
      <x:c r="F50" s="31" t="str">
        <x:v>빈 화면의 클래스 둘러보기</x:v>
      </x:c>
      <x:c r="G50" s="31" t="str">
        <x:v>내 학습 빈 화면</x:v>
      </x:c>
      <x:c r="H50" s="31" t="str">
        <x:v>클래스 둘러보기 선택</x:v>
      </x:c>
      <x:c r="I50" s="31" t="str">
        <x:v>크리에이터 목록으로 이동한다.</x:v>
      </x:c>
      <x:c r="J50" s="37" t="str">
        <x:v>미실행</x:v>
      </x:c>
      <x:c r="K50" s="37" t="str"/>
      <x:c r="L50" s="31" t="str"/>
      <x:c r="M50" s="31" t="str"/>
      <x:c r="N50" s="31" t="str"/>
      <x:c r="O50" s="40"/>
      <x:c r="P50" s="31" t="str">
        <x:v>기획서 §5.5</x:v>
      </x:c>
      <x:c r="Q50" s="44" t="str"/>
    </x:row>
    <x:row r="51" ht="54" customHeight="1">
      <x:c r="A51" s="34" t="str">
        <x:v>QA-046</x:v>
      </x:c>
      <x:c r="B51" s="34" t="str">
        <x:v>내 학습</x:v>
      </x:c>
      <x:c r="C51" s="34" t="str">
        <x:v>수강 내역이 없는 로그인 사용자</x:v>
      </x:c>
      <x:c r="D51" s="34" t="str">
        <x:v>중요</x:v>
      </x:c>
      <x:c r="E51" s="34" t="str">
        <x:v>상태 구분</x:v>
      </x:c>
      <x:c r="F51" s="31" t="str">
        <x:v>결제 내역은 있지만 지금 들을 수 있는 클래스는 없음</x:v>
      </x:c>
      <x:c r="G51" s="31" t="str">
        <x:v>취소 또는 종료된 주문만 존재</x:v>
      </x:c>
      <x:c r="H51" s="31" t="str">
        <x:v>내 학습 진입</x:v>
      </x:c>
      <x:c r="I51" s="31" t="str">
        <x:v>결제 내역이 있는지가 아니라 지금 강의를 들을 수 있는지에 따라 화면이 나뉜다.</x:v>
      </x:c>
      <x:c r="J51" s="37" t="str">
        <x:v>미실행</x:v>
      </x:c>
      <x:c r="K51" s="37" t="str"/>
      <x:c r="L51" s="31" t="str"/>
      <x:c r="M51" s="31" t="str"/>
      <x:c r="N51" s="31" t="str"/>
      <x:c r="O51" s="40"/>
      <x:c r="P51" s="31" t="str">
        <x:v>기획서 §5.5</x:v>
      </x:c>
      <x:c r="Q51" s="44" t="str"/>
    </x:row>
    <x:row r="52" ht="54" customHeight="1">
      <x:c r="A52" s="34" t="str">
        <x:v>QA-047</x:v>
      </x:c>
      <x:c r="B52" s="34" t="str">
        <x:v>내 학습</x:v>
      </x:c>
      <x:c r="C52" s="34" t="str">
        <x:v>수강 중인 사용자</x:v>
      </x:c>
      <x:c r="D52" s="34" t="str">
        <x:v>필수</x:v>
      </x:c>
      <x:c r="E52" s="34" t="str">
        <x:v>기본 동작</x:v>
      </x:c>
      <x:c r="F52" s="31" t="str">
        <x:v>수강 중·종료 클래스 구분</x:v>
      </x:c>
      <x:c r="G52" s="31" t="str">
        <x:v>수강 중과 종료 클래스 모두 보유</x:v>
      </x:c>
      <x:c r="H52" s="31" t="str">
        <x:v>내 학습 진입</x:v>
      </x:c>
      <x:c r="I52" s="31" t="str">
        <x:v>클래스가 수강 기간 기준으로 올바른 그룹과 건수에 표시된다.</x:v>
      </x:c>
      <x:c r="J52" s="37" t="str">
        <x:v>미실행</x:v>
      </x:c>
      <x:c r="K52" s="37" t="str"/>
      <x:c r="L52" s="31" t="str"/>
      <x:c r="M52" s="31" t="str"/>
      <x:c r="N52" s="31" t="str"/>
      <x:c r="O52" s="40"/>
      <x:c r="P52" s="31" t="str">
        <x:v>기획서 §4.4~4.7, §5.5, §14.7</x:v>
      </x:c>
      <x:c r="Q52" s="44" t="str"/>
    </x:row>
    <x:row r="53" ht="54" customHeight="1">
      <x:c r="A53" s="34" t="str">
        <x:v>QA-048</x:v>
      </x:c>
      <x:c r="B53" s="34" t="str">
        <x:v>내 학습</x:v>
      </x:c>
      <x:c r="C53" s="34" t="str">
        <x:v>수강 중인 사용자</x:v>
      </x:c>
      <x:c r="D53" s="34" t="str">
        <x:v>중요</x:v>
      </x:c>
      <x:c r="E53" s="34" t="str">
        <x:v>검색</x:v>
      </x:c>
      <x:c r="F53" s="31" t="str">
        <x:v>구매 클래스 FAQ 통합 검색</x:v>
      </x:c>
      <x:c r="G53" s="31" t="str">
        <x:v>FAQ가 있는 구매 클래스 2개 이상</x:v>
      </x:c>
      <x:c r="H53" s="31" t="str">
        <x:v>질문 키워드와 답변 키워드로 각각 검색</x:v>
      </x:c>
      <x:c r="I53" s="31" t="str">
        <x:v>구매한 클래스 FAQ의 질문과 답변이 모두 검색된다.</x:v>
      </x:c>
      <x:c r="J53" s="37" t="str">
        <x:v>미실행</x:v>
      </x:c>
      <x:c r="K53" s="37" t="str"/>
      <x:c r="L53" s="31" t="str"/>
      <x:c r="M53" s="31" t="str"/>
      <x:c r="N53" s="31" t="str"/>
      <x:c r="O53" s="40"/>
      <x:c r="P53" s="31" t="str">
        <x:v>기획서 §4.4~4.7, §5.5, §14.7</x:v>
      </x:c>
      <x:c r="Q53" s="44" t="str"/>
    </x:row>
    <x:row r="54" ht="54" customHeight="1">
      <x:c r="A54" s="34" t="str">
        <x:v>QA-049</x:v>
      </x:c>
      <x:c r="B54" s="34" t="str">
        <x:v>내 학습</x:v>
      </x:c>
      <x:c r="C54" s="34" t="str">
        <x:v>수강 중인 사용자</x:v>
      </x:c>
      <x:c r="D54" s="34" t="str">
        <x:v>중요</x:v>
      </x:c>
      <x:c r="E54" s="34" t="str">
        <x:v>검색</x:v>
      </x:c>
      <x:c r="F54" s="31" t="str">
        <x:v>FAQ 결과 출처</x:v>
      </x:c>
      <x:c r="G54" s="31" t="str">
        <x:v>여러 크리에이터 클래스 FAQ가 검색됨</x:v>
      </x:c>
      <x:c r="H54" s="31" t="str">
        <x:v>결과 카드 확인</x:v>
      </x:c>
      <x:c r="I54" s="31" t="str">
        <x:v>각 결과에 크리에이터명과 클래스명이 표시된다.</x:v>
      </x:c>
      <x:c r="J54" s="37" t="str">
        <x:v>미실행</x:v>
      </x:c>
      <x:c r="K54" s="37" t="str"/>
      <x:c r="L54" s="31" t="str"/>
      <x:c r="M54" s="31" t="str"/>
      <x:c r="N54" s="31" t="str"/>
      <x:c r="O54" s="40"/>
      <x:c r="P54" s="31" t="str">
        <x:v>기획서 §4.4~4.7, §5.5, §14.7</x:v>
      </x:c>
      <x:c r="Q54" s="44" t="str"/>
    </x:row>
    <x:row r="55" ht="54" customHeight="1">
      <x:c r="A55" s="34" t="str">
        <x:v>QA-050</x:v>
      </x:c>
      <x:c r="B55" s="34" t="str">
        <x:v>내 학습</x:v>
      </x:c>
      <x:c r="C55" s="34" t="str">
        <x:v>수강 중인 사용자</x:v>
      </x:c>
      <x:c r="D55" s="34" t="str">
        <x:v>중요</x:v>
      </x:c>
      <x:c r="E55" s="34" t="str">
        <x:v>검색</x:v>
      </x:c>
      <x:c r="F55" s="31" t="str">
        <x:v>FAQ 검색 결과 없음</x:v>
      </x:c>
      <x:c r="G55" s="31" t="str">
        <x:v>일치하지 않는 검색어</x:v>
      </x:c>
      <x:c r="H55" s="31" t="str">
        <x:v>검색 실행</x:v>
      </x:c>
      <x:c r="I55" s="31" t="str">
        <x:v>입력값을 유지하며 결과가 없음을 안내한다.</x:v>
      </x:c>
      <x:c r="J55" s="37" t="str">
        <x:v>미실행</x:v>
      </x:c>
      <x:c r="K55" s="37" t="str"/>
      <x:c r="L55" s="31" t="str"/>
      <x:c r="M55" s="31" t="str"/>
      <x:c r="N55" s="31" t="str"/>
      <x:c r="O55" s="40"/>
      <x:c r="P55" s="31" t="str">
        <x:v>기획서 §4.4~4.7, §5.5, §14.7</x:v>
      </x:c>
      <x:c r="Q55" s="44" t="str"/>
    </x:row>
    <x:row r="56" ht="54" customHeight="1">
      <x:c r="A56" s="34" t="str">
        <x:v>QA-051</x:v>
      </x:c>
      <x:c r="B56" s="34" t="str">
        <x:v>내 학습</x:v>
      </x:c>
      <x:c r="C56" s="34" t="str">
        <x:v>수강 중인 사용자</x:v>
      </x:c>
      <x:c r="D56" s="34" t="str">
        <x:v>추가</x:v>
      </x:c>
      <x:c r="E56" s="34" t="str">
        <x:v>기본 동작</x:v>
      </x:c>
      <x:c r="F56" s="31" t="str">
        <x:v>FAQ 검색 패널 접기·펼치기</x:v>
      </x:c>
      <x:c r="G56" s="31" t="str">
        <x:v>내 학습 진입</x:v>
      </x:c>
      <x:c r="H56" s="31" t="str">
        <x:v>검색 패널을 반복해서 접고 펼치기</x:v>
      </x:c>
      <x:c r="I56" s="31" t="str">
        <x:v>상태가 시각적으로 명확하고 다른 클래스 영역에 영향을 주지 않는다.</x:v>
      </x:c>
      <x:c r="J56" s="37" t="str">
        <x:v>미실행</x:v>
      </x:c>
      <x:c r="K56" s="37" t="str"/>
      <x:c r="L56" s="31" t="str"/>
      <x:c r="M56" s="31" t="str"/>
      <x:c r="N56" s="31" t="str"/>
      <x:c r="O56" s="40"/>
      <x:c r="P56" s="31" t="str">
        <x:v>기획서 §4.4~4.7, §5.5, §14.7</x:v>
      </x:c>
      <x:c r="Q56" s="44" t="str"/>
    </x:row>
    <x:row r="57" ht="54" customHeight="1">
      <x:c r="A57" s="34" t="str">
        <x:v>QA-052</x:v>
      </x:c>
      <x:c r="B57" s="34" t="str">
        <x:v>내 학습</x:v>
      </x:c>
      <x:c r="C57" s="34" t="str">
        <x:v>수강 중인 사용자</x:v>
      </x:c>
      <x:c r="D57" s="34" t="str">
        <x:v>필수</x:v>
      </x:c>
      <x:c r="E57" s="34" t="str">
        <x:v>이용 가능 여부</x:v>
      </x:c>
      <x:c r="F57" s="31" t="str">
        <x:v>내 학습 영상 재생</x:v>
      </x:c>
      <x:c r="G57" s="31" t="str">
        <x:v>지금 강의를 들을 수 있는 상태</x:v>
      </x:c>
      <x:c r="H57" s="31" t="str">
        <x:v>영상 선택 후 실제 재생</x:v>
      </x:c>
      <x:c r="I57" s="31" t="str">
        <x:v>수강할 수 있는지 다시 확인한 뒤 영상이 재생된다.</x:v>
      </x:c>
      <x:c r="J57" s="37" t="str">
        <x:v>미실행</x:v>
      </x:c>
      <x:c r="K57" s="37" t="str"/>
      <x:c r="L57" s="31" t="str"/>
      <x:c r="M57" s="31" t="str"/>
      <x:c r="N57" s="31" t="str"/>
      <x:c r="O57" s="40"/>
      <x:c r="P57" s="31" t="str">
        <x:v>기획서 §4.4~4.7, §5.5, §14.7</x:v>
      </x:c>
      <x:c r="Q57" s="44" t="str"/>
    </x:row>
    <x:row r="58" ht="54" customHeight="1">
      <x:c r="A58" s="34" t="str">
        <x:v>QA-053</x:v>
      </x:c>
      <x:c r="B58" s="34" t="str">
        <x:v>내 학습</x:v>
      </x:c>
      <x:c r="C58" s="34" t="str">
        <x:v>수강 중인 사용자</x:v>
      </x:c>
      <x:c r="D58" s="34" t="str">
        <x:v>필수</x:v>
      </x:c>
      <x:c r="E58" s="34" t="str">
        <x:v>상태 확인</x:v>
      </x:c>
      <x:c r="F58" s="31" t="str">
        <x:v>수강 전 상태</x:v>
      </x:c>
      <x:c r="G58" s="31" t="str">
        <x:v>재생한 적 없는 영상</x:v>
      </x:c>
      <x:c r="H58" s="31" t="str">
        <x:v>영상 목록 확인</x:v>
      </x:c>
      <x:c r="I58" s="31" t="str">
        <x:v>수강 전으로 표시된다.</x:v>
      </x:c>
      <x:c r="J58" s="37" t="str">
        <x:v>미실행</x:v>
      </x:c>
      <x:c r="K58" s="37" t="str"/>
      <x:c r="L58" s="31" t="str"/>
      <x:c r="M58" s="31" t="str"/>
      <x:c r="N58" s="31" t="str"/>
      <x:c r="O58" s="40"/>
      <x:c r="P58" s="31" t="str">
        <x:v>기획서 §4.4~4.7, §5.5, §14.7</x:v>
      </x:c>
      <x:c r="Q58" s="44" t="str"/>
    </x:row>
    <x:row r="59" ht="54" customHeight="1">
      <x:c r="A59" s="34" t="str">
        <x:v>QA-054</x:v>
      </x:c>
      <x:c r="B59" s="34" t="str">
        <x:v>내 학습</x:v>
      </x:c>
      <x:c r="C59" s="34" t="str">
        <x:v>수강 중인 사용자</x:v>
      </x:c>
      <x:c r="D59" s="34" t="str">
        <x:v>필수</x:v>
      </x:c>
      <x:c r="E59" s="34" t="str">
        <x:v>상태 확인</x:v>
      </x:c>
      <x:c r="F59" s="31" t="str">
        <x:v>플레이 클릭만 한 경우</x:v>
      </x:c>
      <x:c r="G59" s="31" t="str">
        <x:v>수강 전 영상</x:v>
      </x:c>
      <x:c r="H59" s="31" t="str">
        <x:v>플레이 클릭 후 실제 재생 시작 전에 중단</x:v>
      </x:c>
      <x:c r="I59" s="31" t="str">
        <x:v>실제 재생 이벤트가 없으면 수강 중으로 변경하지 않는다.</x:v>
      </x:c>
      <x:c r="J59" s="37" t="str">
        <x:v>미실행</x:v>
      </x:c>
      <x:c r="K59" s="37" t="str"/>
      <x:c r="L59" s="31" t="str"/>
      <x:c r="M59" s="31" t="str"/>
      <x:c r="N59" s="31" t="str"/>
      <x:c r="O59" s="40"/>
      <x:c r="P59" s="31" t="str">
        <x:v>기획서 §4.4~4.7, §5.5, §14.7</x:v>
      </x:c>
      <x:c r="Q59" s="44" t="str"/>
    </x:row>
    <x:row r="60" ht="54" customHeight="1">
      <x:c r="A60" s="34" t="str">
        <x:v>QA-055</x:v>
      </x:c>
      <x:c r="B60" s="34" t="str">
        <x:v>내 학습</x:v>
      </x:c>
      <x:c r="C60" s="34" t="str">
        <x:v>수강 중인 사용자</x:v>
      </x:c>
      <x:c r="D60" s="34" t="str">
        <x:v>필수</x:v>
      </x:c>
      <x:c r="E60" s="34" t="str">
        <x:v>상태 확인</x:v>
      </x:c>
      <x:c r="F60" s="31" t="str">
        <x:v>실제 재생 시작</x:v>
      </x:c>
      <x:c r="G60" s="31" t="str">
        <x:v>수강 전 영상</x:v>
      </x:c>
      <x:c r="H60" s="31" t="str">
        <x:v>영상이 실제로 재생되도록 실행</x:v>
      </x:c>
      <x:c r="I60" s="31" t="str">
        <x:v>사용자별·영상별로 수강 중 상태가 저장된다.</x:v>
      </x:c>
      <x:c r="J60" s="37" t="str">
        <x:v>미실행</x:v>
      </x:c>
      <x:c r="K60" s="37" t="str"/>
      <x:c r="L60" s="31" t="str"/>
      <x:c r="M60" s="31" t="str"/>
      <x:c r="N60" s="31" t="str"/>
      <x:c r="O60" s="40"/>
      <x:c r="P60" s="31" t="str">
        <x:v>기획서 §4.4~4.7, §5.5, §14.7</x:v>
      </x:c>
      <x:c r="Q60" s="44" t="str"/>
    </x:row>
    <x:row r="61" ht="54" customHeight="1">
      <x:c r="A61" s="34" t="str">
        <x:v>QA-056</x:v>
      </x:c>
      <x:c r="B61" s="34" t="str">
        <x:v>내 학습</x:v>
      </x:c>
      <x:c r="C61" s="34" t="str">
        <x:v>수강 중인 사용자</x:v>
      </x:c>
      <x:c r="D61" s="34" t="str">
        <x:v>필수</x:v>
      </x:c>
      <x:c r="E61" s="34" t="str">
        <x:v>상태 확인</x:v>
      </x:c>
      <x:c r="F61" s="31" t="str">
        <x:v>영상 수강 완료</x:v>
      </x:c>
      <x:c r="G61" s="31" t="str">
        <x:v>수강 중 영상</x:v>
      </x:c>
      <x:c r="H61" s="31" t="str">
        <x:v>종료 1초 이내 도달 또는 영상이 끝난 순간 발생</x:v>
      </x:c>
      <x:c r="I61" s="31" t="str">
        <x:v>수강 완료로 저장된다.</x:v>
      </x:c>
      <x:c r="J61" s="37" t="str">
        <x:v>미실행</x:v>
      </x:c>
      <x:c r="K61" s="37" t="str"/>
      <x:c r="L61" s="31" t="str"/>
      <x:c r="M61" s="31" t="str"/>
      <x:c r="N61" s="31" t="str"/>
      <x:c r="O61" s="40"/>
      <x:c r="P61" s="31" t="str">
        <x:v>기획서 §4.4~4.7, §5.5, §14.7</x:v>
      </x:c>
      <x:c r="Q61" s="44" t="str"/>
    </x:row>
    <x:row r="62" ht="54" customHeight="1">
      <x:c r="A62" s="34" t="str">
        <x:v>QA-057</x:v>
      </x:c>
      <x:c r="B62" s="34" t="str">
        <x:v>내 학습</x:v>
      </x:c>
      <x:c r="C62" s="34" t="str">
        <x:v>수강 중인 사용자</x:v>
      </x:c>
      <x:c r="D62" s="34" t="str">
        <x:v>중요</x:v>
      </x:c>
      <x:c r="E62" s="34" t="str">
        <x:v>상태 확인</x:v>
      </x:c>
      <x:c r="F62" s="31" t="str">
        <x:v>완료 상태 완료 상태 유지</x:v>
      </x:c>
      <x:c r="G62" s="31" t="str">
        <x:v>수강 완료 영상</x:v>
      </x:c>
      <x:c r="H62" s="31" t="str">
        <x:v>처음부터 다시 재생 후 중간에 종료</x:v>
      </x:c>
      <x:c r="I62" s="31" t="str">
        <x:v>수강 완료 상태가 수강 중으로 되돌아가지 않는다.</x:v>
      </x:c>
      <x:c r="J62" s="37" t="str">
        <x:v>미실행</x:v>
      </x:c>
      <x:c r="K62" s="37" t="str"/>
      <x:c r="L62" s="31" t="str"/>
      <x:c r="M62" s="31" t="str"/>
      <x:c r="N62" s="31" t="str"/>
      <x:c r="O62" s="40"/>
      <x:c r="P62" s="31" t="str">
        <x:v>기획서 §4.4~4.7, §5.5, §14.7</x:v>
      </x:c>
      <x:c r="Q62" s="44" t="str"/>
    </x:row>
    <x:row r="63" ht="54" customHeight="1">
      <x:c r="A63" s="34" t="str">
        <x:v>QA-058</x:v>
      </x:c>
      <x:c r="B63" s="34" t="str">
        <x:v>내 학습</x:v>
      </x:c>
      <x:c r="C63" s="34" t="str">
        <x:v>수강 중인 사용자</x:v>
      </x:c>
      <x:c r="D63" s="34" t="str">
        <x:v>중요</x:v>
      </x:c>
      <x:c r="E63" s="34" t="str">
        <x:v>저장 유지</x:v>
      </x:c>
      <x:c r="F63" s="31" t="str">
        <x:v>진도 새로고침·재로그인</x:v>
      </x:c>
      <x:c r="G63" s="31" t="str">
        <x:v>수강 중/완료 상태 저장</x:v>
      </x:c>
      <x:c r="H63" s="31" t="str">
        <x:v>새로고침 및 재로그인</x:v>
      </x:c>
      <x:c r="I63" s="31" t="str">
        <x:v>저장된 영상 상태가 유지된다.</x:v>
      </x:c>
      <x:c r="J63" s="37" t="str">
        <x:v>미실행</x:v>
      </x:c>
      <x:c r="K63" s="37" t="str"/>
      <x:c r="L63" s="31" t="str"/>
      <x:c r="M63" s="31" t="str"/>
      <x:c r="N63" s="31" t="str"/>
      <x:c r="O63" s="40"/>
      <x:c r="P63" s="31" t="str">
        <x:v>기획서 §4.4~4.7, §5.5, §14.7</x:v>
      </x:c>
      <x:c r="Q63" s="44" t="str"/>
    </x:row>
    <x:row r="64" ht="54" customHeight="1">
      <x:c r="A64" s="34" t="str">
        <x:v>QA-059</x:v>
      </x:c>
      <x:c r="B64" s="34" t="str">
        <x:v>내 학습</x:v>
      </x:c>
      <x:c r="C64" s="34" t="str">
        <x:v>수강 중인 사용자</x:v>
      </x:c>
      <x:c r="D64" s="34" t="str">
        <x:v>필수</x:v>
      </x:c>
      <x:c r="E64" s="34" t="str">
        <x:v>이용 가능 여부</x:v>
      </x:c>
      <x:c r="F64" s="31" t="str">
        <x:v>자료 다운로드</x:v>
      </x:c>
      <x:c r="G64" s="31" t="str">
        <x:v>지금 강의를 들을 수 있는 상태</x:v>
      </x:c>
      <x:c r="H64" s="31" t="str">
        <x:v>자료 다운로드 선택</x:v>
      </x:c>
      <x:c r="I64" s="31" t="str">
        <x:v>수강할 수 있는지 다시 확인 후 일정 시간이 지나면 사용할 수 없는 링크로 올바른 자료가 다운로드된다.</x:v>
      </x:c>
      <x:c r="J64" s="37" t="str">
        <x:v>미실행</x:v>
      </x:c>
      <x:c r="K64" s="37" t="str"/>
      <x:c r="L64" s="31" t="str"/>
      <x:c r="M64" s="31" t="str"/>
      <x:c r="N64" s="31" t="str"/>
      <x:c r="O64" s="40"/>
      <x:c r="P64" s="31" t="str">
        <x:v>기획서 §4.4~4.7, §5.5, §14.7</x:v>
      </x:c>
      <x:c r="Q64" s="44" t="str"/>
    </x:row>
    <x:row r="65" ht="54" customHeight="1">
      <x:c r="A65" s="34" t="str">
        <x:v>QA-060</x:v>
      </x:c>
      <x:c r="B65" s="34" t="str">
        <x:v>내 학습</x:v>
      </x:c>
      <x:c r="C65" s="34" t="str">
        <x:v>수강 중인 사용자</x:v>
      </x:c>
      <x:c r="D65" s="34" t="str">
        <x:v>필수</x:v>
      </x:c>
      <x:c r="E65" s="34" t="str">
        <x:v>안전 확인</x:v>
      </x:c>
      <x:c r="F65" s="31" t="str">
        <x:v>자료 주소 재사용</x:v>
      </x:c>
      <x:c r="G65" s="31" t="str">
        <x:v>이전에 발급된 다운로드 주소</x:v>
      </x:c>
      <x:c r="H65" s="31" t="str">
        <x:v>만료 후 또는 다른 계정에서 접근</x:v>
      </x:c>
      <x:c r="I65" s="31" t="str">
        <x:v>다운로드가 거부되고 파일이 노출되지 않는다.</x:v>
      </x:c>
      <x:c r="J65" s="37" t="str">
        <x:v>미실행</x:v>
      </x:c>
      <x:c r="K65" s="37" t="str"/>
      <x:c r="L65" s="31" t="str"/>
      <x:c r="M65" s="31" t="str"/>
      <x:c r="N65" s="31" t="str"/>
      <x:c r="O65" s="40"/>
      <x:c r="P65" s="31" t="str">
        <x:v>기획서 §4.4~4.7, §5.5, §14.7</x:v>
      </x:c>
      <x:c r="Q65" s="44" t="str"/>
    </x:row>
    <x:row r="66" ht="54" customHeight="1">
      <x:c r="A66" s="34" t="str">
        <x:v>QA-061</x:v>
      </x:c>
      <x:c r="B66" s="34" t="str">
        <x:v>내 학습</x:v>
      </x:c>
      <x:c r="C66" s="34" t="str">
        <x:v>수강 중인 사용자</x:v>
      </x:c>
      <x:c r="D66" s="34" t="str">
        <x:v>중요</x:v>
      </x:c>
      <x:c r="E66" s="34" t="str">
        <x:v>기본 동작</x:v>
      </x:c>
      <x:c r="F66" s="31" t="str">
        <x:v>운영 안내 필독 바</x:v>
      </x:c>
      <x:c r="G66" s="31" t="str">
        <x:v>운영 안내 미확인 클래스</x:v>
      </x:c>
      <x:c r="H66" s="31" t="str">
        <x:v>내 학습 클래스 영역 확인</x:v>
      </x:c>
      <x:c r="I66" s="31" t="str">
        <x:v>영상 목록 위에 필독 안내 바가 표시된다.</x:v>
      </x:c>
      <x:c r="J66" s="37" t="str">
        <x:v>미실행</x:v>
      </x:c>
      <x:c r="K66" s="37" t="str"/>
      <x:c r="L66" s="31" t="str"/>
      <x:c r="M66" s="31" t="str"/>
      <x:c r="N66" s="31" t="str"/>
      <x:c r="O66" s="40"/>
      <x:c r="P66" s="31" t="str">
        <x:v>기획서 §4.4~4.7, §5.5, §14.7</x:v>
      </x:c>
      <x:c r="Q66" s="44" t="str"/>
    </x:row>
    <x:row r="67" ht="54" customHeight="1">
      <x:c r="A67" s="34" t="str">
        <x:v>QA-062</x:v>
      </x:c>
      <x:c r="B67" s="34" t="str">
        <x:v>내 학습</x:v>
      </x:c>
      <x:c r="C67" s="34" t="str">
        <x:v>수강 중인 사용자</x:v>
      </x:c>
      <x:c r="D67" s="34" t="str">
        <x:v>중요</x:v>
      </x:c>
      <x:c r="E67" s="34" t="str">
        <x:v>기본 동작</x:v>
      </x:c>
      <x:c r="F67" s="31" t="str">
        <x:v>운영 안내 확인</x:v>
      </x:c>
      <x:c r="G67" s="31" t="str">
        <x:v>필독 바 표시</x:v>
      </x:c>
      <x:c r="H67" s="31" t="str">
        <x:v>확인하기 선택</x:v>
      </x:c>
      <x:c r="I67" s="31" t="str">
        <x:v>해당 클래스 운영 안내가 펼쳐지고 필독 바가 숨겨진다.</x:v>
      </x:c>
      <x:c r="J67" s="37" t="str">
        <x:v>미실행</x:v>
      </x:c>
      <x:c r="K67" s="37" t="str"/>
      <x:c r="L67" s="31" t="str"/>
      <x:c r="M67" s="31" t="str"/>
      <x:c r="N67" s="31" t="str"/>
      <x:c r="O67" s="40"/>
      <x:c r="P67" s="31" t="str">
        <x:v>기획서 §4.4~4.7, §5.5, §14.7</x:v>
      </x:c>
      <x:c r="Q67" s="44" t="str"/>
    </x:row>
    <x:row r="68" ht="54" customHeight="1">
      <x:c r="A68" s="34" t="str">
        <x:v>QA-063</x:v>
      </x:c>
      <x:c r="B68" s="34" t="str">
        <x:v>내 학습</x:v>
      </x:c>
      <x:c r="C68" s="34" t="str">
        <x:v>수강 중인 사용자</x:v>
      </x:c>
      <x:c r="D68" s="34" t="str">
        <x:v>중요</x:v>
      </x:c>
      <x:c r="E68" s="34" t="str">
        <x:v>상태 확인</x:v>
      </x:c>
      <x:c r="F68" s="31" t="str">
        <x:v>운영 안내 수정 후 재확인</x:v>
      </x:c>
      <x:c r="G68" s="31" t="str">
        <x:v>기존 안내 확인 완료 후 크리에이터가 문구 수정</x:v>
      </x:c>
      <x:c r="H68" s="31" t="str">
        <x:v>수강생 재접속</x:v>
      </x:c>
      <x:c r="I68" s="31" t="str">
        <x:v>확인 상태가 초기화되어 필독 바가 다시 표시된다.</x:v>
      </x:c>
      <x:c r="J68" s="37" t="str">
        <x:v>미실행</x:v>
      </x:c>
      <x:c r="K68" s="37" t="str"/>
      <x:c r="L68" s="31" t="str"/>
      <x:c r="M68" s="31" t="str"/>
      <x:c r="N68" s="31" t="str"/>
      <x:c r="O68" s="40"/>
      <x:c r="P68" s="31" t="str">
        <x:v>기획서 §4.4~4.7, §5.5, §14.7</x:v>
      </x:c>
      <x:c r="Q68" s="44" t="str"/>
    </x:row>
    <x:row r="69" ht="54" customHeight="1">
      <x:c r="A69" s="34" t="str">
        <x:v>QA-064</x:v>
      </x:c>
      <x:c r="B69" s="34" t="str">
        <x:v>내 학습</x:v>
      </x:c>
      <x:c r="C69" s="34" t="str">
        <x:v>수강 중인 사용자</x:v>
      </x:c>
      <x:c r="D69" s="34" t="str">
        <x:v>중요</x:v>
      </x:c>
      <x:c r="E69" s="34" t="str">
        <x:v>기본 동작</x:v>
      </x:c>
      <x:c r="F69" s="31" t="str">
        <x:v>여러 라이브 일정</x:v>
      </x:c>
      <x:c r="G69" s="31" t="str">
        <x:v>라이브 일정 2개 이상</x:v>
      </x:c>
      <x:c r="H69" s="31" t="str">
        <x:v>일정 목록 확인</x:v>
      </x:c>
      <x:c r="I69" s="31" t="str">
        <x:v>일정이 날짜 순서로 표시되고 제목·일시·참여 정보가 일치한다.</x:v>
      </x:c>
      <x:c r="J69" s="37" t="str">
        <x:v>미실행</x:v>
      </x:c>
      <x:c r="K69" s="37" t="str"/>
      <x:c r="L69" s="31" t="str"/>
      <x:c r="M69" s="31" t="str"/>
      <x:c r="N69" s="31" t="str"/>
      <x:c r="O69" s="40"/>
      <x:c r="P69" s="31" t="str">
        <x:v>기획서 §4.4~4.7, §5.5, §14.7</x:v>
      </x:c>
      <x:c r="Q69" s="44" t="str"/>
    </x:row>
    <x:row r="70" ht="54" customHeight="1">
      <x:c r="A70" s="34" t="str">
        <x:v>QA-065</x:v>
      </x:c>
      <x:c r="B70" s="34" t="str">
        <x:v>내 학습</x:v>
      </x:c>
      <x:c r="C70" s="34" t="str">
        <x:v>수강 중인 사용자</x:v>
      </x:c>
      <x:c r="D70" s="34" t="str">
        <x:v>필수</x:v>
      </x:c>
      <x:c r="E70" s="34" t="str">
        <x:v>이용 가능 여부</x:v>
      </x:c>
      <x:c r="F70" s="31" t="str">
        <x:v>라이브 참여 링크</x:v>
      </x:c>
      <x:c r="G70" s="31" t="str">
        <x:v>지금 강의를 들을 수 있는 상태 사용자</x:v>
      </x:c>
      <x:c r="H70" s="31" t="str">
        <x:v>일정 입장 선택</x:v>
      </x:c>
      <x:c r="I70" s="31" t="str">
        <x:v>저장된 링크가 안전하게 열리고 다른 클래스 링크가 열리지 않는다.</x:v>
      </x:c>
      <x:c r="J70" s="37" t="str">
        <x:v>미실행</x:v>
      </x:c>
      <x:c r="K70" s="37" t="str"/>
      <x:c r="L70" s="31" t="str"/>
      <x:c r="M70" s="31" t="str"/>
      <x:c r="N70" s="31" t="str"/>
      <x:c r="O70" s="40"/>
      <x:c r="P70" s="31" t="str">
        <x:v>기획서 §4.4~4.7, §5.5, §14.7</x:v>
      </x:c>
      <x:c r="Q70" s="44" t="str"/>
    </x:row>
    <x:row r="71" ht="54" customHeight="1">
      <x:c r="A71" s="34" t="str">
        <x:v>QA-066</x:v>
      </x:c>
      <x:c r="B71" s="34" t="str">
        <x:v>내 학습</x:v>
      </x:c>
      <x:c r="C71" s="34" t="str">
        <x:v>수강 중인 사용자</x:v>
      </x:c>
      <x:c r="D71" s="34" t="str">
        <x:v>중요</x:v>
      </x:c>
      <x:c r="E71" s="34" t="str">
        <x:v>예외 상황</x:v>
      </x:c>
      <x:c r="F71" s="31" t="str">
        <x:v>라이브 링크 미등록</x:v>
      </x:c>
      <x:c r="G71" s="31" t="str">
        <x:v>일정은 있으나 주소 없음</x:v>
      </x:c>
      <x:c r="H71" s="31" t="str">
        <x:v>입장 선택</x:v>
      </x:c>
      <x:c r="I71" s="31" t="str">
        <x:v>빈 새 창을 열지 않고 추후 안내 또는 문의 경로를 표시한다.</x:v>
      </x:c>
      <x:c r="J71" s="37" t="str">
        <x:v>미실행</x:v>
      </x:c>
      <x:c r="K71" s="37" t="str"/>
      <x:c r="L71" s="31" t="str"/>
      <x:c r="M71" s="31" t="str"/>
      <x:c r="N71" s="31" t="str"/>
      <x:c r="O71" s="40"/>
      <x:c r="P71" s="31" t="str">
        <x:v>기획서 §4.4~4.7, §5.5, §14.7</x:v>
      </x:c>
      <x:c r="Q71" s="44" t="str"/>
    </x:row>
    <x:row r="72" ht="54" customHeight="1">
      <x:c r="A72" s="34" t="str">
        <x:v>QA-067</x:v>
      </x:c>
      <x:c r="B72" s="34" t="str">
        <x:v>내 학습</x:v>
      </x:c>
      <x:c r="C72" s="34" t="str">
        <x:v>수강 중인 사용자</x:v>
      </x:c>
      <x:c r="D72" s="34" t="str">
        <x:v>중요</x:v>
      </x:c>
      <x:c r="E72" s="34" t="str">
        <x:v>기본 동작</x:v>
      </x:c>
      <x:c r="F72" s="31" t="str">
        <x:v>클래스별 FAQ</x:v>
      </x:c>
      <x:c r="G72" s="31" t="str">
        <x:v>클래스 상세 FAQ 등록</x:v>
      </x:c>
      <x:c r="H72" s="31" t="str">
        <x:v>내 학습 해당 클래스 FAQ 확인</x:v>
      </x:c>
      <x:c r="I72" s="31" t="str">
        <x:v>통합 검색과 별개로 해당 클래스 고유 FAQ가 유지된다.</x:v>
      </x:c>
      <x:c r="J72" s="37" t="str">
        <x:v>미실행</x:v>
      </x:c>
      <x:c r="K72" s="37" t="str"/>
      <x:c r="L72" s="31" t="str"/>
      <x:c r="M72" s="31" t="str"/>
      <x:c r="N72" s="31" t="str"/>
      <x:c r="O72" s="40"/>
      <x:c r="P72" s="31" t="str">
        <x:v>기획서 §4.4~4.7, §5.5, §14.7</x:v>
      </x:c>
      <x:c r="Q72" s="44" t="str"/>
    </x:row>
    <x:row r="73" ht="54" customHeight="1">
      <x:c r="A73" s="34" t="str">
        <x:v>QA-068</x:v>
      </x:c>
      <x:c r="B73" s="34" t="str">
        <x:v>내 학습</x:v>
      </x:c>
      <x:c r="C73" s="34" t="str">
        <x:v>수강 중인 사용자</x:v>
      </x:c>
      <x:c r="D73" s="34" t="str">
        <x:v>필수</x:v>
      </x:c>
      <x:c r="E73" s="34" t="str">
        <x:v>이용 가능 여부</x:v>
      </x:c>
      <x:c r="F73" s="31" t="str">
        <x:v>수강 종료 후 콘텐츠 접근</x:v>
      </x:c>
      <x:c r="G73" s="31" t="str">
        <x:v>수강 기간 종료</x:v>
      </x:c>
      <x:c r="H73" s="31" t="str">
        <x:v>영상 재생·자료 다운로드·라이브 입장 시도</x:v>
      </x:c>
      <x:c r="I73" s="31" t="str">
        <x:v>정책에 따라 접근이 차단되고 종료 상태를 안내한다.</x:v>
      </x:c>
      <x:c r="J73" s="37" t="str">
        <x:v>미실행</x:v>
      </x:c>
      <x:c r="K73" s="37" t="str"/>
      <x:c r="L73" s="31" t="str"/>
      <x:c r="M73" s="31" t="str"/>
      <x:c r="N73" s="31" t="str"/>
      <x:c r="O73" s="40"/>
      <x:c r="P73" s="31" t="str">
        <x:v>기획서 §4.4~4.7, §5.5, §14.7</x:v>
      </x:c>
      <x:c r="Q73" s="44" t="str"/>
    </x:row>
    <x:row r="74" ht="54" customHeight="1">
      <x:c r="A74" s="34" t="str">
        <x:v>QA-069</x:v>
      </x:c>
      <x:c r="B74" s="34" t="str">
        <x:v>내 학습</x:v>
      </x:c>
      <x:c r="C74" s="34" t="str">
        <x:v>수강 중인 사용자</x:v>
      </x:c>
      <x:c r="D74" s="34" t="str">
        <x:v>필수</x:v>
      </x:c>
      <x:c r="E74" s="34" t="str">
        <x:v>안전 확인</x:v>
      </x:c>
      <x:c r="F74" s="31" t="str">
        <x:v>내 학습 직접 주소 권한 없음</x:v>
      </x:c>
      <x:c r="G74" s="31" t="str">
        <x:v>권한 없는 계정이 클래스/영상 구분값를 앎</x:v>
      </x:c>
      <x:c r="H74" s="31" t="str">
        <x:v>직접 주소 또는 데이터 요청</x:v>
      </x:c>
      <x:c r="I74" s="31" t="str">
        <x:v>콘텐츠 정보와 재생·다운로드 권한을 제공하지 않는다.</x:v>
      </x:c>
      <x:c r="J74" s="37" t="str">
        <x:v>미실행</x:v>
      </x:c>
      <x:c r="K74" s="37" t="str"/>
      <x:c r="L74" s="31" t="str"/>
      <x:c r="M74" s="31" t="str"/>
      <x:c r="N74" s="31" t="str"/>
      <x:c r="O74" s="40"/>
      <x:c r="P74" s="31" t="str">
        <x:v>기획서 §4.4~4.7, §5.5, §14.7</x:v>
      </x:c>
      <x:c r="Q74" s="44" t="str"/>
    </x:row>
    <x:row r="75" ht="54" customHeight="1">
      <x:c r="A75" s="34" t="str">
        <x:v>QA-070</x:v>
      </x:c>
      <x:c r="B75" s="34" t="str">
        <x:v>내 학습</x:v>
      </x:c>
      <x:c r="C75" s="34" t="str">
        <x:v>수강 중인 사용자</x:v>
      </x:c>
      <x:c r="D75" s="34" t="str">
        <x:v>추가</x:v>
      </x:c>
      <x:c r="E75" s="34" t="str">
        <x:v>강의가 많을 때</x:v>
      </x:c>
      <x:c r="F75" s="31" t="str">
        <x:v>수강 클래스 다량 보유</x:v>
      </x:c>
      <x:c r="G75" s="31" t="str">
        <x:v>수강 클래스 20개 이상 테스트 데이터</x:v>
      </x:c>
      <x:c r="H75" s="31" t="str">
        <x:v>내 학습 첫 진입·스크롤·클래스 전환 측정</x:v>
      </x:c>
      <x:c r="I75" s="31" t="str">
        <x:v>심각한 멈춤이나 오류를 기록한다. 목록/상세 분리는 BACKLOG B-006 후속 과제로 별도 추적한다.</x:v>
      </x:c>
      <x:c r="J75" s="37" t="str">
        <x:v>미실행</x:v>
      </x:c>
      <x:c r="K75" s="37" t="str"/>
      <x:c r="L75" s="31" t="str"/>
      <x:c r="M75" s="31" t="str"/>
      <x:c r="N75" s="31" t="str"/>
      <x:c r="O75" s="40"/>
      <x:c r="P75" s="31" t="str">
        <x:v>기획서 §4.4~4.7, §5.5, §14.7</x:v>
      </x:c>
      <x:c r="Q75" s="44" t="str"/>
    </x:row>
    <x:row r="76" ht="54" customHeight="1">
      <x:c r="A76" s="34" t="str">
        <x:v>QA-071</x:v>
      </x:c>
      <x:c r="B76" s="34" t="str">
        <x:v>마이·환불</x:v>
      </x:c>
      <x:c r="C76" s="34" t="str">
        <x:v>로그인 사용자</x:v>
      </x:c>
      <x:c r="D76" s="34" t="str">
        <x:v>필수</x:v>
      </x:c>
      <x:c r="E76" s="34" t="str">
        <x:v>기본 동작</x:v>
      </x:c>
      <x:c r="F76" s="31" t="str">
        <x:v>결제 내역 표시</x:v>
      </x:c>
      <x:c r="G76" s="31" t="str">
        <x:v>결제 완료·취소·환불 주문 보유</x:v>
      </x:c>
      <x:c r="H76" s="31" t="str">
        <x:v>마이 &gt; 결제 내역 진입</x:v>
      </x:c>
      <x:c r="I76" s="31" t="str">
        <x:v>결제일, 클래스, 금액, 결제 상태와 환불 상태가 주문 데이터와 일치한다.</x:v>
      </x:c>
      <x:c r="J76" s="37" t="str">
        <x:v>미실행</x:v>
      </x:c>
      <x:c r="K76" s="37" t="str"/>
      <x:c r="L76" s="31" t="str"/>
      <x:c r="M76" s="31" t="str"/>
      <x:c r="N76" s="31" t="str"/>
      <x:c r="O76" s="40"/>
      <x:c r="P76" s="31" t="str">
        <x:v>기획서 §5.6, §14.6</x:v>
      </x:c>
      <x:c r="Q76" s="44" t="str"/>
    </x:row>
    <x:row r="77" ht="54" customHeight="1">
      <x:c r="A77" s="34" t="str">
        <x:v>QA-072</x:v>
      </x:c>
      <x:c r="B77" s="34" t="str">
        <x:v>마이·환불</x:v>
      </x:c>
      <x:c r="C77" s="34" t="str">
        <x:v>로그인 사용자</x:v>
      </x:c>
      <x:c r="D77" s="34" t="str">
        <x:v>중요</x:v>
      </x:c>
      <x:c r="E77" s="34" t="str">
        <x:v>개인정보</x:v>
      </x:c>
      <x:c r="F77" s="31" t="str">
        <x:v>주문번호 비노출</x:v>
      </x:c>
      <x:c r="G77" s="31" t="str">
        <x:v>주문 내역 존재</x:v>
      </x:c>
      <x:c r="H77" s="31" t="str">
        <x:v>결제 내역 화면과 페이지 소스의 사용자 노출 확인</x:v>
      </x:c>
      <x:c r="I77" s="31" t="str">
        <x:v>내부 주문번호가 화면에 표시되지 않는다.</x:v>
      </x:c>
      <x:c r="J77" s="37" t="str">
        <x:v>미실행</x:v>
      </x:c>
      <x:c r="K77" s="37" t="str"/>
      <x:c r="L77" s="31" t="str"/>
      <x:c r="M77" s="31" t="str"/>
      <x:c r="N77" s="31" t="str"/>
      <x:c r="O77" s="40"/>
      <x:c r="P77" s="31" t="str">
        <x:v>기획서 §5.6, §14.6</x:v>
      </x:c>
      <x:c r="Q77" s="44" t="str"/>
    </x:row>
    <x:row r="78" ht="54" customHeight="1">
      <x:c r="A78" s="34" t="str">
        <x:v>QA-073</x:v>
      </x:c>
      <x:c r="B78" s="34" t="str">
        <x:v>마이·환불</x:v>
      </x:c>
      <x:c r="C78" s="34" t="str">
        <x:v>로그인 사용자</x:v>
      </x:c>
      <x:c r="D78" s="34" t="str">
        <x:v>필수</x:v>
      </x:c>
      <x:c r="E78" s="34" t="str">
        <x:v>기본 동작</x:v>
      </x:c>
      <x:c r="F78" s="31" t="str">
        <x:v>모든 결제 내역의 환불 요청</x:v>
      </x:c>
      <x:c r="G78" s="31" t="str">
        <x:v>상태가 다른 결제 내역 여러 건</x:v>
      </x:c>
      <x:c r="H78" s="31" t="str">
        <x:v>각 내역의 버튼 확인</x:v>
      </x:c>
      <x:c r="I78" s="31" t="str">
        <x:v>결제·수강·환불 가능 여부와 관계없이 환불 요청 버튼이 표시된다.</x:v>
      </x:c>
      <x:c r="J78" s="37" t="str">
        <x:v>미실행</x:v>
      </x:c>
      <x:c r="K78" s="37" t="str"/>
      <x:c r="L78" s="31" t="str"/>
      <x:c r="M78" s="31" t="str"/>
      <x:c r="N78" s="31" t="str"/>
      <x:c r="O78" s="40"/>
      <x:c r="P78" s="31" t="str">
        <x:v>기획서 §5.6, §14.6</x:v>
      </x:c>
      <x:c r="Q78" s="44" t="str"/>
    </x:row>
    <x:row r="79" ht="54" customHeight="1">
      <x:c r="A79" s="34" t="str">
        <x:v>QA-074</x:v>
      </x:c>
      <x:c r="B79" s="34" t="str">
        <x:v>마이·환불</x:v>
      </x:c>
      <x:c r="C79" s="34" t="str">
        <x:v>로그인 사용자</x:v>
      </x:c>
      <x:c r="D79" s="34" t="str">
        <x:v>필수</x:v>
      </x:c>
      <x:c r="E79" s="34" t="str">
        <x:v>화면 이동</x:v>
      </x:c>
      <x:c r="F79" s="31" t="str">
        <x:v>환불 요청 상담 연결</x:v>
      </x:c>
      <x:c r="G79" s="31" t="str">
        <x:v>결제 내역 존재</x:v>
      </x:c>
      <x:c r="H79" s="31" t="str">
        <x:v>특정 주문의 환불 요청 선택</x:v>
      </x:c>
      <x:c r="I79" s="31" t="str">
        <x:v>노하우집 카카오톡 고객센터가 열리고 대상 주문을 식별할 수 있는 안전한 정보가 전달된다.</x:v>
      </x:c>
      <x:c r="J79" s="37" t="str">
        <x:v>미실행</x:v>
      </x:c>
      <x:c r="K79" s="37" t="str"/>
      <x:c r="L79" s="31" t="str"/>
      <x:c r="M79" s="31" t="str"/>
      <x:c r="N79" s="31" t="str"/>
      <x:c r="O79" s="40"/>
      <x:c r="P79" s="31" t="str">
        <x:v>기획서 §5.6, §14.6</x:v>
      </x:c>
      <x:c r="Q79" s="44" t="str"/>
    </x:row>
    <x:row r="80" ht="54" customHeight="1">
      <x:c r="A80" s="34" t="str">
        <x:v>QA-075</x:v>
      </x:c>
      <x:c r="B80" s="34" t="str">
        <x:v>마이·환불</x:v>
      </x:c>
      <x:c r="C80" s="34" t="str">
        <x:v>로그인 사용자</x:v>
      </x:c>
      <x:c r="D80" s="34" t="str">
        <x:v>필수</x:v>
      </x:c>
      <x:c r="E80" s="34" t="str">
        <x:v>안내 내용</x:v>
      </x:c>
      <x:c r="F80" s="31" t="str">
        <x:v>자동 환불 미실행</x:v>
      </x:c>
      <x:c r="G80" s="31" t="str">
        <x:v>환불 요청 버튼 선택</x:v>
      </x:c>
      <x:c r="H80" s="31" t="str">
        <x:v>상담 연결 전후 주문 상태 확인</x:v>
      </x:c>
      <x:c r="I80" s="31" t="str">
        <x:v>버튼만으로 자동 환불되거나 강의를 들을 수 있는 상태가 즉시 회수되지 않는다.</x:v>
      </x:c>
      <x:c r="J80" s="37" t="str">
        <x:v>미실행</x:v>
      </x:c>
      <x:c r="K80" s="37" t="str"/>
      <x:c r="L80" s="31" t="str"/>
      <x:c r="M80" s="31" t="str"/>
      <x:c r="N80" s="31" t="str"/>
      <x:c r="O80" s="40"/>
      <x:c r="P80" s="31" t="str">
        <x:v>기획서 §5.6, §14.6</x:v>
      </x:c>
      <x:c r="Q80" s="44" t="str"/>
    </x:row>
    <x:row r="81" ht="54" customHeight="1">
      <x:c r="A81" s="34" t="str">
        <x:v>QA-076</x:v>
      </x:c>
      <x:c r="B81" s="34" t="str">
        <x:v>마이·환불</x:v>
      </x:c>
      <x:c r="C81" s="34" t="str">
        <x:v>로그인 사용자</x:v>
      </x:c>
      <x:c r="D81" s="34" t="str">
        <x:v>필수</x:v>
      </x:c>
      <x:c r="E81" s="34" t="str">
        <x:v>내용 없음</x:v>
      </x:c>
      <x:c r="F81" s="31" t="str">
        <x:v>결제 내역 없음</x:v>
      </x:c>
      <x:c r="G81" s="31" t="str">
        <x:v>로그인했지만 주문 없음</x:v>
      </x:c>
      <x:c r="H81" s="31" t="str">
        <x:v>마이 &gt; 결제 내역 진입</x:v>
      </x:c>
      <x:c r="I81" s="31" t="str">
        <x:v>탭을 유지하고 결제 내역이 없다는 빈 화면을 표시한다.</x:v>
      </x:c>
      <x:c r="J81" s="37" t="str">
        <x:v>미실행</x:v>
      </x:c>
      <x:c r="K81" s="37" t="str"/>
      <x:c r="L81" s="31" t="str"/>
      <x:c r="M81" s="31" t="str"/>
      <x:c r="N81" s="31" t="str"/>
      <x:c r="O81" s="40"/>
      <x:c r="P81" s="31" t="str">
        <x:v>기획서 §5.6, §14.6</x:v>
      </x:c>
      <x:c r="Q81" s="44" t="str"/>
    </x:row>
    <x:row r="82" ht="54" customHeight="1">
      <x:c r="A82" s="34" t="str">
        <x:v>QA-077</x:v>
      </x:c>
      <x:c r="B82" s="34" t="str">
        <x:v>마이·환불</x:v>
      </x:c>
      <x:c r="C82" s="34" t="str">
        <x:v>로그인 사용자</x:v>
      </x:c>
      <x:c r="D82" s="34" t="str">
        <x:v>중요</x:v>
      </x:c>
      <x:c r="E82" s="34" t="str">
        <x:v>화면 이동</x:v>
      </x:c>
      <x:c r="F82" s="31" t="str">
        <x:v>결제 빈 화면의 클래스 둘러보기</x:v>
      </x:c>
      <x:c r="G82" s="31" t="str">
        <x:v>결제 내역 빈 화면</x:v>
      </x:c>
      <x:c r="H82" s="31" t="str">
        <x:v>클래스 둘러보기 선택</x:v>
      </x:c>
      <x:c r="I82" s="31" t="str">
        <x:v>크리에이터 목록으로 이동한다.</x:v>
      </x:c>
      <x:c r="J82" s="37" t="str">
        <x:v>미실행</x:v>
      </x:c>
      <x:c r="K82" s="37" t="str"/>
      <x:c r="L82" s="31" t="str"/>
      <x:c r="M82" s="31" t="str"/>
      <x:c r="N82" s="31" t="str"/>
      <x:c r="O82" s="40"/>
      <x:c r="P82" s="31" t="str">
        <x:v>기획서 §5.6, §14.6</x:v>
      </x:c>
      <x:c r="Q82" s="44" t="str"/>
    </x:row>
    <x:row r="83" ht="54" customHeight="1">
      <x:c r="A83" s="34" t="str">
        <x:v>QA-078</x:v>
      </x:c>
      <x:c r="B83" s="34" t="str">
        <x:v>마이·환불</x:v>
      </x:c>
      <x:c r="C83" s="34" t="str">
        <x:v>로그인 사용자</x:v>
      </x:c>
      <x:c r="D83" s="34" t="str">
        <x:v>중요</x:v>
      </x:c>
      <x:c r="E83" s="34" t="str">
        <x:v>기본 동작</x:v>
      </x:c>
      <x:c r="F83" s="31" t="str">
        <x:v>내 정보 탭</x:v>
      </x:c>
      <x:c r="G83" s="31" t="str">
        <x:v>로그인 사용자</x:v>
      </x:c>
      <x:c r="H83" s="31" t="str">
        <x:v>마이 &gt; 내 정보 선택</x:v>
      </x:c>
      <x:c r="I83" s="31" t="str">
        <x:v>카카오 동의로 저장한 이름과 전화번호가 본인에게만 표시된다.</x:v>
      </x:c>
      <x:c r="J83" s="37" t="str">
        <x:v>미실행</x:v>
      </x:c>
      <x:c r="K83" s="37" t="str"/>
      <x:c r="L83" s="31" t="str"/>
      <x:c r="M83" s="31" t="str"/>
      <x:c r="N83" s="31" t="str"/>
      <x:c r="O83" s="40"/>
      <x:c r="P83" s="31" t="str">
        <x:v>기획서 §5.6, §14.6</x:v>
      </x:c>
      <x:c r="Q83" s="44" t="str"/>
    </x:row>
    <x:row r="84" ht="54" customHeight="1">
      <x:c r="A84" s="34" t="str">
        <x:v>QA-079</x:v>
      </x:c>
      <x:c r="B84" s="34" t="str">
        <x:v>마이·환불</x:v>
      </x:c>
      <x:c r="C84" s="34" t="str">
        <x:v>로그인 사용자</x:v>
      </x:c>
      <x:c r="D84" s="34" t="str">
        <x:v>필수</x:v>
      </x:c>
      <x:c r="E84" s="34" t="str">
        <x:v>환불</x:v>
      </x:c>
      <x:c r="F84" s="31" t="str">
        <x:v>환불 완료 함께 바뀌는지 확인</x:v>
      </x:c>
      <x:c r="G84" s="31" t="str">
        <x:v>운영팀이 결제 서비스 환불 완료 처리</x:v>
      </x:c>
      <x:c r="H84" s="31" t="str">
        <x:v>사용자 재접속</x:v>
      </x:c>
      <x:c r="I84" s="31" t="str">
        <x:v>주문·환불 상태와 정책에 따른 강의를 들을 수 있는 상태가 함께 갱신된다.</x:v>
      </x:c>
      <x:c r="J84" s="37" t="str">
        <x:v>미실행</x:v>
      </x:c>
      <x:c r="K84" s="37" t="str"/>
      <x:c r="L84" s="31" t="str"/>
      <x:c r="M84" s="31" t="str"/>
      <x:c r="N84" s="31" t="str"/>
      <x:c r="O84" s="40"/>
      <x:c r="P84" s="31" t="str">
        <x:v>기획서 §5.6, §14.6</x:v>
      </x:c>
      <x:c r="Q84" s="44" t="str"/>
    </x:row>
    <x:row r="85" ht="54" customHeight="1">
      <x:c r="A85" s="34" t="str">
        <x:v>QA-080</x:v>
      </x:c>
      <x:c r="B85" s="34" t="str">
        <x:v>마이·환불</x:v>
      </x:c>
      <x:c r="C85" s="34" t="str">
        <x:v>로그인 사용자</x:v>
      </x:c>
      <x:c r="D85" s="34" t="str">
        <x:v>필수</x:v>
      </x:c>
      <x:c r="E85" s="34" t="str">
        <x:v>환불</x:v>
      </x:c>
      <x:c r="F85" s="31" t="str">
        <x:v>부분 환불 금액</x:v>
      </x:c>
      <x:c r="G85" s="31" t="str">
        <x:v>일부 콘텐츠 사용 및 부분 환불 완료</x:v>
      </x:c>
      <x:c r="H85" s="31" t="str">
        <x:v>결제 내역과 관리자 매출 확인</x:v>
      </x:c>
      <x:c r="I85" s="31" t="str">
        <x:v>실제 환불 완료 금액만 반영되고 주문 전체 금액이 차감되지 않는다.</x:v>
      </x:c>
      <x:c r="J85" s="37" t="str">
        <x:v>미실행</x:v>
      </x:c>
      <x:c r="K85" s="37" t="str"/>
      <x:c r="L85" s="31" t="str"/>
      <x:c r="M85" s="31" t="str"/>
      <x:c r="N85" s="31" t="str"/>
      <x:c r="O85" s="40"/>
      <x:c r="P85" s="31" t="str">
        <x:v>기획서 §5.6, §14.6</x:v>
      </x:c>
      <x:c r="Q85" s="44" t="str"/>
    </x:row>
    <x:row r="86" ht="54" customHeight="1">
      <x:c r="A86" s="34" t="str">
        <x:v>QA-081</x:v>
      </x:c>
      <x:c r="B86" s="34" t="str">
        <x:v>관리자 공통·대시보드</x:v>
      </x:c>
      <x:c r="C86" s="34" t="str">
        <x:v>크리에이터</x:v>
      </x:c>
      <x:c r="D86" s="34" t="str">
        <x:v>필수</x:v>
      </x:c>
      <x:c r="E86" s="34" t="str">
        <x:v>이용 가능 여부</x:v>
      </x:c>
      <x:c r="F86" s="31" t="str">
        <x:v>크리에이터 관리자 접근</x:v>
      </x:c>
      <x:c r="G86" s="31" t="str">
        <x:v>일반 사용자 계정</x:v>
      </x:c>
      <x:c r="H86" s="31" t="str">
        <x:v>관리자 주소 직접 접속</x:v>
      </x:c>
      <x:c r="I86" s="31" t="str">
        <x:v>크리에이터 로그인이 없으면 접근이 거부된다.</x:v>
      </x:c>
      <x:c r="J86" s="37" t="str">
        <x:v>미실행</x:v>
      </x:c>
      <x:c r="K86" s="37" t="str"/>
      <x:c r="L86" s="31" t="str"/>
      <x:c r="M86" s="31" t="str"/>
      <x:c r="N86" s="31" t="str"/>
      <x:c r="O86" s="40"/>
      <x:c r="P86" s="31" t="str">
        <x:v>기획서 §6 공통, §6.1</x:v>
      </x:c>
      <x:c r="Q86" s="44" t="str"/>
    </x:row>
    <x:row r="87" ht="54" customHeight="1">
      <x:c r="A87" s="34" t="str">
        <x:v>QA-082</x:v>
      </x:c>
      <x:c r="B87" s="34" t="str">
        <x:v>관리자 공통·대시보드</x:v>
      </x:c>
      <x:c r="C87" s="34" t="str">
        <x:v>크리에이터</x:v>
      </x:c>
      <x:c r="D87" s="34" t="str">
        <x:v>필수</x:v>
      </x:c>
      <x:c r="E87" s="34" t="str">
        <x:v>이용 가능 여부</x:v>
      </x:c>
      <x:c r="F87" s="31" t="str">
        <x:v>다른 크리에이터 데이터 격리</x:v>
      </x:c>
      <x:c r="G87" s="31" t="str">
        <x:v>크리에이터 A/B 계정</x:v>
      </x:c>
      <x:c r="H87" s="31" t="str">
        <x:v>A가 B의 콘텐츠·클래스 ID 요청</x:v>
      </x:c>
      <x:c r="I87" s="31" t="str">
        <x:v>서비스가 접근을 막고 B의 데이터가 노출되지 않는다.</x:v>
      </x:c>
      <x:c r="J87" s="37" t="str">
        <x:v>미실행</x:v>
      </x:c>
      <x:c r="K87" s="37" t="str"/>
      <x:c r="L87" s="31" t="str"/>
      <x:c r="M87" s="31" t="str"/>
      <x:c r="N87" s="31" t="str"/>
      <x:c r="O87" s="40"/>
      <x:c r="P87" s="31" t="str">
        <x:v>기획서 §6 공통, §6.1</x:v>
      </x:c>
      <x:c r="Q87" s="44" t="str"/>
    </x:row>
    <x:row r="88" ht="54" customHeight="1">
      <x:c r="A88" s="34" t="str">
        <x:v>QA-083</x:v>
      </x:c>
      <x:c r="B88" s="34" t="str">
        <x:v>관리자 공통·대시보드</x:v>
      </x:c>
      <x:c r="C88" s="34" t="str">
        <x:v>크리에이터</x:v>
      </x:c>
      <x:c r="D88" s="34" t="str">
        <x:v>중요</x:v>
      </x:c>
      <x:c r="E88" s="34" t="str">
        <x:v>기본 동작</x:v>
      </x:c>
      <x:c r="F88" s="31" t="str">
        <x:v>대시보드 요약</x:v>
      </x:c>
      <x:c r="G88" s="31" t="str">
        <x:v>결제·수강생·클래스 데이터 존재</x:v>
      </x:c>
      <x:c r="H88" s="31" t="str">
        <x:v>대시보드 진입</x:v>
      </x:c>
      <x:c r="I88" s="31" t="str">
        <x:v>이번 달 매출, 전체 수강생과 등록 클래스 수가 정의된 집계 기준과 일치한다.</x:v>
      </x:c>
      <x:c r="J88" s="37" t="str">
        <x:v>미실행</x:v>
      </x:c>
      <x:c r="K88" s="37" t="str"/>
      <x:c r="L88" s="31" t="str"/>
      <x:c r="M88" s="31" t="str"/>
      <x:c r="N88" s="31" t="str"/>
      <x:c r="O88" s="40"/>
      <x:c r="P88" s="31" t="str">
        <x:v>기획서 §6 공통, §6.1</x:v>
      </x:c>
      <x:c r="Q88" s="44" t="str"/>
    </x:row>
    <x:row r="89" ht="54" customHeight="1">
      <x:c r="A89" s="34" t="str">
        <x:v>QA-084</x:v>
      </x:c>
      <x:c r="B89" s="34" t="str">
        <x:v>관리자 공통·대시보드</x:v>
      </x:c>
      <x:c r="C89" s="34" t="str">
        <x:v>크리에이터</x:v>
      </x:c>
      <x:c r="D89" s="34" t="str">
        <x:v>중요</x:v>
      </x:c>
      <x:c r="E89" s="34" t="str">
        <x:v>내용 확인</x:v>
      </x:c>
      <x:c r="F89" s="31" t="str">
        <x:v>최근 강의 콘텐츠</x:v>
      </x:c>
      <x:c r="G89" s="31" t="str">
        <x:v>콘텐츠 4개 이상</x:v>
      </x:c>
      <x:c r="H89" s="31" t="str">
        <x:v>대시보드 강의 콘텐츠 확인</x:v>
      </x:c>
      <x:c r="I89" s="31" t="str">
        <x:v>정책에 맞는 최근 항목만 표시되고 연결 클래스 수가 정확하다.</x:v>
      </x:c>
      <x:c r="J89" s="37" t="str">
        <x:v>미실행</x:v>
      </x:c>
      <x:c r="K89" s="37" t="str"/>
      <x:c r="L89" s="31" t="str"/>
      <x:c r="M89" s="31" t="str"/>
      <x:c r="N89" s="31" t="str"/>
      <x:c r="O89" s="40"/>
      <x:c r="P89" s="31" t="str">
        <x:v>기획서 §6 공통, §6.1</x:v>
      </x:c>
      <x:c r="Q89" s="44" t="str"/>
    </x:row>
    <x:row r="90" ht="54" customHeight="1">
      <x:c r="A90" s="34" t="str">
        <x:v>QA-085</x:v>
      </x:c>
      <x:c r="B90" s="34" t="str">
        <x:v>관리자 공통·대시보드</x:v>
      </x:c>
      <x:c r="C90" s="34" t="str">
        <x:v>크리에이터</x:v>
      </x:c>
      <x:c r="D90" s="34" t="str">
        <x:v>중요</x:v>
      </x:c>
      <x:c r="E90" s="34" t="str">
        <x:v>화면 이동</x:v>
      </x:c>
      <x:c r="F90" s="31" t="str">
        <x:v>강의 콘텐츠 전체 보기</x:v>
      </x:c>
      <x:c r="G90" s="31" t="str">
        <x:v>대시보드 진입</x:v>
      </x:c>
      <x:c r="H90" s="31" t="str">
        <x:v>전체 보기 선택</x:v>
      </x:c>
      <x:c r="I90" s="31" t="str">
        <x:v>강의 콘텐츠 목록으로 이동한다.</x:v>
      </x:c>
      <x:c r="J90" s="37" t="str">
        <x:v>미실행</x:v>
      </x:c>
      <x:c r="K90" s="37" t="str"/>
      <x:c r="L90" s="31" t="str"/>
      <x:c r="M90" s="31" t="str"/>
      <x:c r="N90" s="31" t="str"/>
      <x:c r="O90" s="40"/>
      <x:c r="P90" s="31" t="str">
        <x:v>기획서 §6 공통, §6.1</x:v>
      </x:c>
      <x:c r="Q90" s="44" t="str"/>
    </x:row>
    <x:row r="91" ht="54" customHeight="1">
      <x:c r="A91" s="34" t="str">
        <x:v>QA-086</x:v>
      </x:c>
      <x:c r="B91" s="34" t="str">
        <x:v>관리자 공통·대시보드</x:v>
      </x:c>
      <x:c r="C91" s="34" t="str">
        <x:v>크리에이터</x:v>
      </x:c>
      <x:c r="D91" s="34" t="str">
        <x:v>중요</x:v>
      </x:c>
      <x:c r="E91" s="34" t="str">
        <x:v>내용 확인</x:v>
      </x:c>
      <x:c r="F91" s="31" t="str">
        <x:v>최근 수강 신청</x:v>
      </x:c>
      <x:c r="G91" s="31" t="str">
        <x:v>결제 완료·실패·취소 데이터 존재</x:v>
      </x:c>
      <x:c r="H91" s="31" t="str">
        <x:v>최근 수강 신청 확인</x:v>
      </x:c>
      <x:c r="I91" s="31" t="str">
        <x:v>결제 완료 건만 최근 순 최대 4명 표시한다.</x:v>
      </x:c>
      <x:c r="J91" s="37" t="str">
        <x:v>미실행</x:v>
      </x:c>
      <x:c r="K91" s="37" t="str"/>
      <x:c r="L91" s="31" t="str"/>
      <x:c r="M91" s="31" t="str"/>
      <x:c r="N91" s="31" t="str"/>
      <x:c r="O91" s="40"/>
      <x:c r="P91" s="31" t="str">
        <x:v>기획서 §6 공통, §6.1</x:v>
      </x:c>
      <x:c r="Q91" s="44" t="str"/>
    </x:row>
    <x:row r="92" ht="54" customHeight="1">
      <x:c r="A92" s="34" t="str">
        <x:v>QA-087</x:v>
      </x:c>
      <x:c r="B92" s="34" t="str">
        <x:v>관리자 공통·대시보드</x:v>
      </x:c>
      <x:c r="C92" s="34" t="str">
        <x:v>크리에이터</x:v>
      </x:c>
      <x:c r="D92" s="34" t="str">
        <x:v>중요</x:v>
      </x:c>
      <x:c r="E92" s="34" t="str">
        <x:v>화면 이동</x:v>
      </x:c>
      <x:c r="F92" s="31" t="str">
        <x:v>최근 수강 신청 전체 보기</x:v>
      </x:c>
      <x:c r="G92" s="31" t="str">
        <x:v>대시보드 진입</x:v>
      </x:c>
      <x:c r="H92" s="31" t="str">
        <x:v>전체 보기 선택</x:v>
      </x:c>
      <x:c r="I92" s="31" t="str">
        <x:v>같은 기준의 수강생 관리 목록으로 이동한다.</x:v>
      </x:c>
      <x:c r="J92" s="37" t="str">
        <x:v>미실행</x:v>
      </x:c>
      <x:c r="K92" s="37" t="str"/>
      <x:c r="L92" s="31" t="str"/>
      <x:c r="M92" s="31" t="str"/>
      <x:c r="N92" s="31" t="str"/>
      <x:c r="O92" s="40"/>
      <x:c r="P92" s="31" t="str">
        <x:v>기획서 §6 공통, §6.1</x:v>
      </x:c>
      <x:c r="Q92" s="44" t="str"/>
    </x:row>
    <x:row r="93" ht="54" customHeight="1">
      <x:c r="A93" s="34" t="str">
        <x:v>QA-088</x:v>
      </x:c>
      <x:c r="B93" s="34" t="str">
        <x:v>관리자 공통·대시보드</x:v>
      </x:c>
      <x:c r="C93" s="34" t="str">
        <x:v>크리에이터</x:v>
      </x:c>
      <x:c r="D93" s="34" t="str">
        <x:v>중요</x:v>
      </x:c>
      <x:c r="E93" s="34" t="str">
        <x:v>내용 없음</x:v>
      </x:c>
      <x:c r="F93" s="31" t="str">
        <x:v>대시보드 데이터 없음</x:v>
      </x:c>
      <x:c r="G93" s="31" t="str">
        <x:v>신규 크리에이터 계정</x:v>
      </x:c>
      <x:c r="H93" s="31" t="str">
        <x:v>대시보드 진입</x:v>
      </x:c>
      <x:c r="I93" s="31" t="str">
        <x:v>0값과 안내형 빈 상태가 깨지지 않고 표시된다.</x:v>
      </x:c>
      <x:c r="J93" s="37" t="str">
        <x:v>미실행</x:v>
      </x:c>
      <x:c r="K93" s="37" t="str"/>
      <x:c r="L93" s="31" t="str"/>
      <x:c r="M93" s="31" t="str"/>
      <x:c r="N93" s="31" t="str"/>
      <x:c r="O93" s="40"/>
      <x:c r="P93" s="31" t="str">
        <x:v>기획서 §6 공통, §6.1</x:v>
      </x:c>
      <x:c r="Q93" s="44" t="str"/>
    </x:row>
    <x:row r="94" ht="54" customHeight="1">
      <x:c r="A94" s="34" t="str">
        <x:v>QA-089</x:v>
      </x:c>
      <x:c r="B94" s="34" t="str">
        <x:v>관리자 공통·대시보드</x:v>
      </x:c>
      <x:c r="C94" s="34" t="str">
        <x:v>크리에이터</x:v>
      </x:c>
      <x:c r="D94" s="34" t="str">
        <x:v>중요</x:v>
      </x:c>
      <x:c r="E94" s="34" t="str">
        <x:v>화면 이동</x:v>
      </x:c>
      <x:c r="F94" s="31" t="str">
        <x:v>내 페이지 보기</x:v>
      </x:c>
      <x:c r="G94" s="31" t="str">
        <x:v>관리자 진입</x:v>
      </x:c>
      <x:c r="H94" s="31" t="str">
        <x:v>사이드바/대시보드의 내 페이지 보기 선택</x:v>
      </x:c>
      <x:c r="I94" s="31" t="str">
        <x:v>공개 크리에이터 페이지가 새 창으로 열린다.</x:v>
      </x:c>
      <x:c r="J94" s="37" t="str">
        <x:v>미실행</x:v>
      </x:c>
      <x:c r="K94" s="37" t="str"/>
      <x:c r="L94" s="31" t="str"/>
      <x:c r="M94" s="31" t="str"/>
      <x:c r="N94" s="31" t="str"/>
      <x:c r="O94" s="40"/>
      <x:c r="P94" s="31" t="str">
        <x:v>기획서 §6 공통, §6.1</x:v>
      </x:c>
      <x:c r="Q94" s="44" t="str"/>
    </x:row>
    <x:row r="95" ht="54" customHeight="1">
      <x:c r="A95" s="34" t="str">
        <x:v>QA-090</x:v>
      </x:c>
      <x:c r="B95" s="34" t="str">
        <x:v>강의 콘텐츠 관리</x:v>
      </x:c>
      <x:c r="C95" s="34" t="str">
        <x:v>신규·운영 크리에이터</x:v>
      </x:c>
      <x:c r="D95" s="34" t="str">
        <x:v>필수</x:v>
      </x:c>
      <x:c r="E95" s="34" t="str">
        <x:v>기본 동작</x:v>
      </x:c>
      <x:c r="F95" s="31" t="str">
        <x:v>강의 콘텐츠 목록</x:v>
      </x:c>
      <x:c r="G95" s="31" t="str">
        <x:v>콘텐츠 존재</x:v>
      </x:c>
      <x:c r="H95" s="31" t="str">
        <x:v>강의 콘텐츠 메뉴 진입</x:v>
      </x:c>
      <x:c r="I95" s="31" t="str">
        <x:v>제목, 설명, 영상 수, 자료 수와 연결 클래스 수가 표시된다.</x:v>
      </x:c>
      <x:c r="J95" s="37" t="str">
        <x:v>미실행</x:v>
      </x:c>
      <x:c r="K95" s="37" t="str"/>
      <x:c r="L95" s="31" t="str"/>
      <x:c r="M95" s="31" t="str"/>
      <x:c r="N95" s="31" t="str"/>
      <x:c r="O95" s="40"/>
      <x:c r="P95" s="31" t="str">
        <x:v>기획서 §6.2~6.3, 사용자 확정 2026-08-03</x:v>
      </x:c>
      <x:c r="Q95" s="44" t="str"/>
    </x:row>
    <x:row r="96" ht="54" customHeight="1">
      <x:c r="A96" s="34" t="str">
        <x:v>QA-091</x:v>
      </x:c>
      <x:c r="B96" s="34" t="str">
        <x:v>강의 콘텐츠 관리</x:v>
      </x:c>
      <x:c r="C96" s="34" t="str">
        <x:v>신규·운영 크리에이터</x:v>
      </x:c>
      <x:c r="D96" s="34" t="str">
        <x:v>중요</x:v>
      </x:c>
      <x:c r="E96" s="34" t="str">
        <x:v>기본 동작</x:v>
      </x:c>
      <x:c r="F96" s="31" t="str">
        <x:v>카드 메뉴 열기·닫기</x:v>
      </x:c>
      <x:c r="G96" s="31" t="str">
        <x:v>콘텐츠 목록</x:v>
      </x:c>
      <x:c r="H96" s="31" t="str">
        <x:v>점 3개 선택 후 메뉴 밖 선택</x:v>
      </x:c>
      <x:c r="I96" s="31" t="str">
        <x:v>수정·삭제 메뉴가 열리고 바깥 선택 시 닫힌다.</x:v>
      </x:c>
      <x:c r="J96" s="37" t="str">
        <x:v>미실행</x:v>
      </x:c>
      <x:c r="K96" s="37" t="str"/>
      <x:c r="L96" s="31" t="str"/>
      <x:c r="M96" s="31" t="str"/>
      <x:c r="N96" s="31" t="str"/>
      <x:c r="O96" s="40"/>
      <x:c r="P96" s="31" t="str">
        <x:v>기획서 §6.2~6.3, 사용자 확정 2026-08-03</x:v>
      </x:c>
      <x:c r="Q96" s="44" t="str"/>
    </x:row>
    <x:row r="97" ht="54" customHeight="1">
      <x:c r="A97" s="34" t="str">
        <x:v>QA-092</x:v>
      </x:c>
      <x:c r="B97" s="34" t="str">
        <x:v>강의 콘텐츠 관리</x:v>
      </x:c>
      <x:c r="C97" s="34" t="str">
        <x:v>신규·운영 크리에이터</x:v>
      </x:c>
      <x:c r="D97" s="34" t="str">
        <x:v>필수</x:v>
      </x:c>
      <x:c r="E97" s="34" t="str">
        <x:v>수정·삭제 제한</x:v>
      </x:c>
      <x:c r="F97" s="31" t="str">
        <x:v>연결 콘텐츠 수정 차단</x:v>
      </x:c>
      <x:c r="G97" s="31" t="str">
        <x:v>연결 클래스 수 1개 이상</x:v>
      </x:c>
      <x:c r="H97" s="31" t="str">
        <x:v>카드 또는 메뉴의 수정 선택</x:v>
      </x:c>
      <x:c r="I97" s="31" t="str">
        <x:v>수정 화면에 진입하지 않고 연결된 콘텐츠는 수정할 수 없다는 안내를 표시한다.</x:v>
      </x:c>
      <x:c r="J97" s="37" t="str">
        <x:v>미실행</x:v>
      </x:c>
      <x:c r="K97" s="37" t="str"/>
      <x:c r="L97" s="31" t="str"/>
      <x:c r="M97" s="31" t="str"/>
      <x:c r="N97" s="31" t="str"/>
      <x:c r="O97" s="40"/>
      <x:c r="P97" s="31" t="str">
        <x:v>기획서 §6.2~6.3, 사용자 확정 2026-08-03</x:v>
      </x:c>
      <x:c r="Q97" s="44" t="str"/>
    </x:row>
    <x:row r="98" ht="54" customHeight="1">
      <x:c r="A98" s="34" t="str">
        <x:v>QA-093</x:v>
      </x:c>
      <x:c r="B98" s="34" t="str">
        <x:v>강의 콘텐츠 관리</x:v>
      </x:c>
      <x:c r="C98" s="34" t="str">
        <x:v>신규·운영 크리에이터</x:v>
      </x:c>
      <x:c r="D98" s="34" t="str">
        <x:v>필수</x:v>
      </x:c>
      <x:c r="E98" s="34" t="str">
        <x:v>수정·삭제 제한</x:v>
      </x:c>
      <x:c r="F98" s="31" t="str">
        <x:v>연결 콘텐츠 삭제 차단</x:v>
      </x:c>
      <x:c r="G98" s="31" t="str">
        <x:v>연결 클래스 수 1개 이상</x:v>
      </x:c>
      <x:c r="H98" s="31" t="str">
        <x:v>삭제 선택</x:v>
      </x:c>
      <x:c r="I98" s="31" t="str">
        <x:v>연결 클래스 수와 선행 해제 필요를 안내하고 삭제 확인 버튼을 제공하지 않는다.</x:v>
      </x:c>
      <x:c r="J98" s="37" t="str">
        <x:v>미실행</x:v>
      </x:c>
      <x:c r="K98" s="37" t="str"/>
      <x:c r="L98" s="31" t="str"/>
      <x:c r="M98" s="31" t="str"/>
      <x:c r="N98" s="31" t="str"/>
      <x:c r="O98" s="40"/>
      <x:c r="P98" s="31" t="str">
        <x:v>기획서 §6.2~6.3, 사용자 확정 2026-08-03</x:v>
      </x:c>
      <x:c r="Q98" s="44" t="str"/>
    </x:row>
    <x:row r="99" ht="54" customHeight="1">
      <x:c r="A99" s="34" t="str">
        <x:v>QA-094</x:v>
      </x:c>
      <x:c r="B99" s="34" t="str">
        <x:v>강의 콘텐츠 관리</x:v>
      </x:c>
      <x:c r="C99" s="34" t="str">
        <x:v>신규·운영 크리에이터</x:v>
      </x:c>
      <x:c r="D99" s="34" t="str">
        <x:v>필수</x:v>
      </x:c>
      <x:c r="E99" s="34" t="str">
        <x:v>수정·삭제 제한</x:v>
      </x:c>
      <x:c r="F99" s="31" t="str">
        <x:v>수정 직접 주소 다른 방법으로 들어가기 차단</x:v>
      </x:c>
      <x:c r="G99" s="31" t="str">
        <x:v>연결 콘텐츠의 수정 주소 확보</x:v>
      </x:c>
      <x:c r="H99" s="31" t="str">
        <x:v>주소 직접 접속 및 저장 데이터 요청</x:v>
      </x:c>
      <x:c r="I99" s="31" t="str">
        <x:v>화면과 서비스 모두 수정을 거부한다.</x:v>
      </x:c>
      <x:c r="J99" s="37" t="str">
        <x:v>미실행</x:v>
      </x:c>
      <x:c r="K99" s="37" t="str"/>
      <x:c r="L99" s="31" t="str"/>
      <x:c r="M99" s="31" t="str"/>
      <x:c r="N99" s="31" t="str"/>
      <x:c r="O99" s="40"/>
      <x:c r="P99" s="31" t="str">
        <x:v>기획서 §6.2~6.3, 사용자 확정 2026-08-03</x:v>
      </x:c>
      <x:c r="Q99" s="44" t="str"/>
    </x:row>
    <x:row r="100" ht="54" customHeight="1">
      <x:c r="A100" s="34" t="str">
        <x:v>QA-095</x:v>
      </x:c>
      <x:c r="B100" s="34" t="str">
        <x:v>강의 콘텐츠 관리</x:v>
      </x:c>
      <x:c r="C100" s="34" t="str">
        <x:v>신규·운영 크리에이터</x:v>
      </x:c>
      <x:c r="D100" s="34" t="str">
        <x:v>필수</x:v>
      </x:c>
      <x:c r="E100" s="34" t="str">
        <x:v>수정·삭제 제한</x:v>
      </x:c>
      <x:c r="F100" s="31" t="str">
        <x:v>삭제 직전 연결 다시 확인</x:v>
      </x:c>
      <x:c r="G100" s="31" t="str">
        <x:v>팝업을 연 뒤 다른 세션에서 클래스 연결</x:v>
      </x:c>
      <x:c r="H100" s="31" t="str">
        <x:v>삭제 확인</x:v>
      </x:c>
      <x:c r="I100" s="31" t="str">
        <x:v>서비스가 다시 확인해 삭제를 거부하고 목록을 유지한다.</x:v>
      </x:c>
      <x:c r="J100" s="37" t="str">
        <x:v>미실행</x:v>
      </x:c>
      <x:c r="K100" s="37" t="str"/>
      <x:c r="L100" s="31" t="str"/>
      <x:c r="M100" s="31" t="str"/>
      <x:c r="N100" s="31" t="str"/>
      <x:c r="O100" s="40"/>
      <x:c r="P100" s="31" t="str">
        <x:v>기획서 §6.2~6.3, 사용자 확정 2026-08-03</x:v>
      </x:c>
      <x:c r="Q100" s="44" t="str"/>
    </x:row>
    <x:row r="101" ht="54" customHeight="1">
      <x:c r="A101" s="34" t="str">
        <x:v>QA-096</x:v>
      </x:c>
      <x:c r="B101" s="34" t="str">
        <x:v>강의 콘텐츠 관리</x:v>
      </x:c>
      <x:c r="C101" s="34" t="str">
        <x:v>신규·운영 크리에이터</x:v>
      </x:c>
      <x:c r="D101" s="34" t="str">
        <x:v>필수</x:v>
      </x:c>
      <x:c r="E101" s="34" t="str">
        <x:v>기본 동작</x:v>
      </x:c>
      <x:c r="F101" s="31" t="str">
        <x:v>미연결 콘텐츠 수정</x:v>
      </x:c>
      <x:c r="G101" s="31" t="str">
        <x:v>연결 클래스 수 0</x:v>
      </x:c>
      <x:c r="H101" s="31" t="str">
        <x:v>카드 또는 수정 메뉴 선택</x:v>
      </x:c>
      <x:c r="I101" s="31" t="str">
        <x:v>수정 화면으로 정상 진입한다.</x:v>
      </x:c>
      <x:c r="J101" s="37" t="str">
        <x:v>미실행</x:v>
      </x:c>
      <x:c r="K101" s="37" t="str"/>
      <x:c r="L101" s="31" t="str"/>
      <x:c r="M101" s="31" t="str"/>
      <x:c r="N101" s="31" t="str"/>
      <x:c r="O101" s="40"/>
      <x:c r="P101" s="31" t="str">
        <x:v>기획서 §6.2~6.3, 사용자 확정 2026-08-03</x:v>
      </x:c>
      <x:c r="Q101" s="44" t="str"/>
    </x:row>
    <x:row r="102" ht="54" customHeight="1">
      <x:c r="A102" s="34" t="str">
        <x:v>QA-097</x:v>
      </x:c>
      <x:c r="B102" s="34" t="str">
        <x:v>강의 콘텐츠 관리</x:v>
      </x:c>
      <x:c r="C102" s="34" t="str">
        <x:v>신규·운영 크리에이터</x:v>
      </x:c>
      <x:c r="D102" s="34" t="str">
        <x:v>필수</x:v>
      </x:c>
      <x:c r="E102" s="34" t="str">
        <x:v>기본 동작</x:v>
      </x:c>
      <x:c r="F102" s="31" t="str">
        <x:v>미연결 콘텐츠 삭제 취소</x:v>
      </x:c>
      <x:c r="G102" s="31" t="str">
        <x:v>연결 클래스 수 0</x:v>
      </x:c>
      <x:c r="H102" s="31" t="str">
        <x:v>삭제 선택 후 취소</x:v>
      </x:c>
      <x:c r="I102" s="31" t="str">
        <x:v>목록을 변경하지 않고 팝업만 닫는다.</x:v>
      </x:c>
      <x:c r="J102" s="37" t="str">
        <x:v>미실행</x:v>
      </x:c>
      <x:c r="K102" s="37" t="str"/>
      <x:c r="L102" s="31" t="str"/>
      <x:c r="M102" s="31" t="str"/>
      <x:c r="N102" s="31" t="str"/>
      <x:c r="O102" s="40"/>
      <x:c r="P102" s="31" t="str">
        <x:v>기획서 §6.2~6.3, 사용자 확정 2026-08-03</x:v>
      </x:c>
      <x:c r="Q102" s="44" t="str"/>
    </x:row>
    <x:row r="103" ht="54" customHeight="1">
      <x:c r="A103" s="34" t="str">
        <x:v>QA-098</x:v>
      </x:c>
      <x:c r="B103" s="34" t="str">
        <x:v>강의 콘텐츠 관리</x:v>
      </x:c>
      <x:c r="C103" s="34" t="str">
        <x:v>신규·운영 크리에이터</x:v>
      </x:c>
      <x:c r="D103" s="34" t="str">
        <x:v>필수</x:v>
      </x:c>
      <x:c r="E103" s="34" t="str">
        <x:v>기본 동작</x:v>
      </x:c>
      <x:c r="F103" s="31" t="str">
        <x:v>미연결 콘텐츠 삭제 확인</x:v>
      </x:c>
      <x:c r="G103" s="31" t="str">
        <x:v>연결 클래스 수 0</x:v>
      </x:c>
      <x:c r="H103" s="31" t="str">
        <x:v>삭제 선택 후 재확인</x:v>
      </x:c>
      <x:c r="I103" s="31" t="str">
        <x:v>콘텐츠가 삭제되고 목록과 완료 메시지가 갱신된다.</x:v>
      </x:c>
      <x:c r="J103" s="37" t="str">
        <x:v>미실행</x:v>
      </x:c>
      <x:c r="K103" s="37" t="str"/>
      <x:c r="L103" s="31" t="str"/>
      <x:c r="M103" s="31" t="str"/>
      <x:c r="N103" s="31" t="str"/>
      <x:c r="O103" s="40"/>
      <x:c r="P103" s="31" t="str">
        <x:v>기획서 §6.2~6.3, 사용자 확정 2026-08-03</x:v>
      </x:c>
      <x:c r="Q103" s="44" t="str"/>
    </x:row>
    <x:row r="104" ht="54" customHeight="1">
      <x:c r="A104" s="34" t="str">
        <x:v>QA-099</x:v>
      </x:c>
      <x:c r="B104" s="34" t="str">
        <x:v>강의 콘텐츠 관리</x:v>
      </x:c>
      <x:c r="C104" s="34" t="str">
        <x:v>신규·운영 크리에이터</x:v>
      </x:c>
      <x:c r="D104" s="34" t="str">
        <x:v>중요</x:v>
      </x:c>
      <x:c r="E104" s="34" t="str">
        <x:v>작성 단계</x:v>
      </x:c>
      <x:c r="F104" s="31" t="str">
        <x:v>2단계 입력 전환</x:v>
      </x:c>
      <x:c r="G104" s="31" t="str">
        <x:v>새 콘텐츠 등록</x:v>
      </x:c>
      <x:c r="H104" s="31" t="str">
        <x:v>상단 단계와 이전/다음으로 이동</x:v>
      </x:c>
      <x:c r="I104" s="31" t="str">
        <x:v>한 단계만 표시되고 입력값과 선택 파일이 유지된다.</x:v>
      </x:c>
      <x:c r="J104" s="37" t="str">
        <x:v>미실행</x:v>
      </x:c>
      <x:c r="K104" s="37" t="str"/>
      <x:c r="L104" s="31" t="str"/>
      <x:c r="M104" s="31" t="str"/>
      <x:c r="N104" s="31" t="str"/>
      <x:c r="O104" s="40"/>
      <x:c r="P104" s="31" t="str">
        <x:v>기획서 §6.2~6.3, 사용자 확정 2026-08-03</x:v>
      </x:c>
      <x:c r="Q104" s="44" t="str"/>
    </x:row>
    <x:row r="105" ht="54" customHeight="1">
      <x:c r="A105" s="34" t="str">
        <x:v>QA-100</x:v>
      </x:c>
      <x:c r="B105" s="34" t="str">
        <x:v>강의 콘텐츠 관리</x:v>
      </x:c>
      <x:c r="C105" s="34" t="str">
        <x:v>신규·운영 크리에이터</x:v>
      </x:c>
      <x:c r="D105" s="34" t="str">
        <x:v>필수</x:v>
      </x:c>
      <x:c r="E105" s="34" t="str">
        <x:v>입력 확인</x:v>
      </x:c>
      <x:c r="F105" s="31" t="str">
        <x:v>콘텐츠 제목 필수</x:v>
      </x:c>
      <x:c r="G105" s="31" t="str">
        <x:v>새 콘텐츠 등록</x:v>
      </x:c>
      <x:c r="H105" s="31" t="str">
        <x:v>제목 없이 저장</x:v>
      </x:c>
      <x:c r="I105" s="31" t="str">
        <x:v>첫 단계로 이동해 콘텐츠 제목 입력 안내와 선택 위치를 제공한다.</x:v>
      </x:c>
      <x:c r="J105" s="37" t="str">
        <x:v>미실행</x:v>
      </x:c>
      <x:c r="K105" s="37" t="str"/>
      <x:c r="L105" s="31" t="str"/>
      <x:c r="M105" s="31" t="str"/>
      <x:c r="N105" s="31" t="str"/>
      <x:c r="O105" s="40"/>
      <x:c r="P105" s="31" t="str">
        <x:v>기획서 §6.2~6.3, 사용자 확정 2026-08-03</x:v>
      </x:c>
      <x:c r="Q105" s="44" t="str"/>
    </x:row>
    <x:row r="106" ht="54" customHeight="1">
      <x:c r="A106" s="34" t="str">
        <x:v>QA-101</x:v>
      </x:c>
      <x:c r="B106" s="34" t="str">
        <x:v>강의 콘텐츠 관리</x:v>
      </x:c>
      <x:c r="C106" s="34" t="str">
        <x:v>신규·운영 크리에이터</x:v>
      </x:c>
      <x:c r="D106" s="34" t="str">
        <x:v>필수</x:v>
      </x:c>
      <x:c r="E106" s="34" t="str">
        <x:v>한계값</x:v>
      </x:c>
      <x:c r="F106" s="31" t="str">
        <x:v>콘텐츠 제목 80자</x:v>
      </x:c>
      <x:c r="G106" s="31" t="str">
        <x:v>새 콘텐츠 등록</x:v>
      </x:c>
      <x:c r="H106" s="31" t="str">
        <x:v>80자와 81자로 각각 저장</x:v>
      </x:c>
      <x:c r="I106" s="31" t="str">
        <x:v>80자는 허용되고 81자는 저장되지 않으며 오류가 표시된다.</x:v>
      </x:c>
      <x:c r="J106" s="37" t="str">
        <x:v>미실행</x:v>
      </x:c>
      <x:c r="K106" s="37" t="str"/>
      <x:c r="L106" s="31" t="str"/>
      <x:c r="M106" s="31" t="str"/>
      <x:c r="N106" s="31" t="str"/>
      <x:c r="O106" s="40"/>
      <x:c r="P106" s="31" t="str">
        <x:v>기획서 §6.2~6.3, 사용자 확정 2026-08-03</x:v>
      </x:c>
      <x:c r="Q106" s="44" t="str"/>
    </x:row>
    <x:row r="107" ht="54" customHeight="1">
      <x:c r="A107" s="34" t="str">
        <x:v>QA-102</x:v>
      </x:c>
      <x:c r="B107" s="34" t="str">
        <x:v>강의 콘텐츠 관리</x:v>
      </x:c>
      <x:c r="C107" s="34" t="str">
        <x:v>신규·운영 크리에이터</x:v>
      </x:c>
      <x:c r="D107" s="34" t="str">
        <x:v>필수</x:v>
      </x:c>
      <x:c r="E107" s="34" t="str">
        <x:v>입력 확인</x:v>
      </x:c>
      <x:c r="F107" s="31" t="str">
        <x:v>영상 최소 1개</x:v>
      </x:c>
      <x:c r="G107" s="31" t="str">
        <x:v>새 콘텐츠 등록</x:v>
      </x:c>
      <x:c r="H107" s="31" t="str">
        <x:v>영상 항목 없이 저장</x:v>
      </x:c>
      <x:c r="I107" s="31" t="str">
        <x:v>영상을 1개 이상 등록하라는 오류를 표시한다.</x:v>
      </x:c>
      <x:c r="J107" s="37" t="str">
        <x:v>미실행</x:v>
      </x:c>
      <x:c r="K107" s="37" t="str"/>
      <x:c r="L107" s="31" t="str"/>
      <x:c r="M107" s="31" t="str"/>
      <x:c r="N107" s="31" t="str"/>
      <x:c r="O107" s="40"/>
      <x:c r="P107" s="31" t="str">
        <x:v>기획서 §6.2~6.3, 사용자 확정 2026-08-03</x:v>
      </x:c>
      <x:c r="Q107" s="44" t="str"/>
    </x:row>
    <x:row r="108" ht="54" customHeight="1">
      <x:c r="A108" s="34" t="str">
        <x:v>QA-103</x:v>
      </x:c>
      <x:c r="B108" s="34" t="str">
        <x:v>강의 콘텐츠 관리</x:v>
      </x:c>
      <x:c r="C108" s="34" t="str">
        <x:v>신규·운영 크리에이터</x:v>
      </x:c>
      <x:c r="D108" s="34" t="str">
        <x:v>필수</x:v>
      </x:c>
      <x:c r="E108" s="34" t="str">
        <x:v>입력 확인</x:v>
      </x:c>
      <x:c r="F108" s="31" t="str">
        <x:v>강의 제목과 파일 필수</x:v>
      </x:c>
      <x:c r="G108" s="31" t="str">
        <x:v>영상 행 추가</x:v>
      </x:c>
      <x:c r="H108" s="31" t="str">
        <x:v>제목 또는 파일 중 하나만 입력 후 저장</x:v>
      </x:c>
      <x:c r="I108" s="31" t="str">
        <x:v>누락된 순서의 강의 항목을 구체적으로 안내한다.</x:v>
      </x:c>
      <x:c r="J108" s="37" t="str">
        <x:v>미실행</x:v>
      </x:c>
      <x:c r="K108" s="37" t="str"/>
      <x:c r="L108" s="31" t="str"/>
      <x:c r="M108" s="31" t="str"/>
      <x:c r="N108" s="31" t="str"/>
      <x:c r="O108" s="40"/>
      <x:c r="P108" s="31" t="str">
        <x:v>기획서 §6.2~6.3, 사용자 확정 2026-08-03</x:v>
      </x:c>
      <x:c r="Q108" s="44" t="str"/>
    </x:row>
    <x:row r="109" ht="54" customHeight="1">
      <x:c r="A109" s="34" t="str">
        <x:v>QA-104</x:v>
      </x:c>
      <x:c r="B109" s="34" t="str">
        <x:v>강의 콘텐츠 관리</x:v>
      </x:c>
      <x:c r="C109" s="34" t="str">
        <x:v>신규·운영 크리에이터</x:v>
      </x:c>
      <x:c r="D109" s="34" t="str">
        <x:v>필수</x:v>
      </x:c>
      <x:c r="E109" s="34" t="str">
        <x:v>파일</x:v>
      </x:c>
      <x:c r="F109" s="31" t="str">
        <x:v>영상 허용 형식</x:v>
      </x:c>
      <x:c r="G109" s="31" t="str">
        <x:v>테스트 파일 준비</x:v>
      </x:c>
      <x:c r="H109" s="31" t="str">
        <x:v>MP4/MOV/WebM과 비허용 파일을 각각 선택</x:v>
      </x:c>
      <x:c r="I109" s="31" t="str">
        <x:v>허용 파일만 처리하고 비허용 형식은 저장 전에 차단한다.</x:v>
      </x:c>
      <x:c r="J109" s="37" t="str">
        <x:v>미실행</x:v>
      </x:c>
      <x:c r="K109" s="37" t="str"/>
      <x:c r="L109" s="31" t="str"/>
      <x:c r="M109" s="31" t="str"/>
      <x:c r="N109" s="31" t="str"/>
      <x:c r="O109" s="40"/>
      <x:c r="P109" s="31" t="str">
        <x:v>기획서 §6.2~6.3, 사용자 확정 2026-08-03</x:v>
      </x:c>
      <x:c r="Q109" s="44" t="str"/>
    </x:row>
    <x:row r="110" ht="54" customHeight="1">
      <x:c r="A110" s="34" t="str">
        <x:v>QA-105</x:v>
      </x:c>
      <x:c r="B110" s="34" t="str">
        <x:v>강의 콘텐츠 관리</x:v>
      </x:c>
      <x:c r="C110" s="34" t="str">
        <x:v>신규·운영 크리에이터</x:v>
      </x:c>
      <x:c r="D110" s="34" t="str">
        <x:v>필수</x:v>
      </x:c>
      <x:c r="E110" s="34" t="str">
        <x:v>한계값</x:v>
      </x:c>
      <x:c r="F110" s="31" t="str">
        <x:v>영상 2GB 용량 제한</x:v>
      </x:c>
      <x:c r="G110" s="31" t="str">
        <x:v>2GB 이하/초과 테스트 파일</x:v>
      </x:c>
      <x:c r="H110" s="31" t="str">
        <x:v>각 파일 선택</x:v>
      </x:c>
      <x:c r="I110" s="31" t="str">
        <x:v>2GB 이하는 허용하고 초과 파일은 명확한 오류로 차단한다.</x:v>
      </x:c>
      <x:c r="J110" s="37" t="str">
        <x:v>미실행</x:v>
      </x:c>
      <x:c r="K110" s="37" t="str"/>
      <x:c r="L110" s="31" t="str"/>
      <x:c r="M110" s="31" t="str"/>
      <x:c r="N110" s="31" t="str"/>
      <x:c r="O110" s="40"/>
      <x:c r="P110" s="31" t="str">
        <x:v>기획서 §6.2~6.3, 사용자 확정 2026-08-03</x:v>
      </x:c>
      <x:c r="Q110" s="44" t="str"/>
    </x:row>
    <x:row r="111" ht="54" customHeight="1">
      <x:c r="A111" s="34" t="str">
        <x:v>QA-106</x:v>
      </x:c>
      <x:c r="B111" s="34" t="str">
        <x:v>강의 콘텐츠 관리</x:v>
      </x:c>
      <x:c r="C111" s="34" t="str">
        <x:v>신규·운영 크리에이터</x:v>
      </x:c>
      <x:c r="D111" s="34" t="str">
        <x:v>중요</x:v>
      </x:c>
      <x:c r="E111" s="34" t="str">
        <x:v>파일</x:v>
      </x:c>
      <x:c r="F111" s="31" t="str">
        <x:v>영상 재생시간·미리보기</x:v>
      </x:c>
      <x:c r="G111" s="31" t="str">
        <x:v>정상 영상 파일</x:v>
      </x:c>
      <x:c r="H111" s="31" t="str">
        <x:v>파일 선택 후 정보와 미리보기 확인</x:v>
      </x:c>
      <x:c r="I111" s="31" t="str">
        <x:v>파일명, 용량, 자동 재생시간과 재생 가능한 미리보기가 표시된다.</x:v>
      </x:c>
      <x:c r="J111" s="37" t="str">
        <x:v>미실행</x:v>
      </x:c>
      <x:c r="K111" s="37" t="str"/>
      <x:c r="L111" s="31" t="str"/>
      <x:c r="M111" s="31" t="str"/>
      <x:c r="N111" s="31" t="str"/>
      <x:c r="O111" s="40"/>
      <x:c r="P111" s="31" t="str">
        <x:v>기획서 §6.2~6.3, 사용자 확정 2026-08-03</x:v>
      </x:c>
      <x:c r="Q111" s="44" t="str"/>
    </x:row>
    <x:row r="112" ht="54" customHeight="1">
      <x:c r="A112" s="34" t="str">
        <x:v>QA-107</x:v>
      </x:c>
      <x:c r="B112" s="34" t="str">
        <x:v>강의 콘텐츠 관리</x:v>
      </x:c>
      <x:c r="C112" s="34" t="str">
        <x:v>신규·운영 크리에이터</x:v>
      </x:c>
      <x:c r="D112" s="34" t="str">
        <x:v>중요</x:v>
      </x:c>
      <x:c r="E112" s="34" t="str">
        <x:v>파일</x:v>
      </x:c>
      <x:c r="F112" s="31" t="str">
        <x:v>영상 교체</x:v>
      </x:c>
      <x:c r="G112" s="31" t="str">
        <x:v>기존 파일 선택 완료</x:v>
      </x:c>
      <x:c r="H112" s="31" t="str">
        <x:v>다른 영상으로 다시 선택</x:v>
      </x:c>
      <x:c r="I112" s="31" t="str">
        <x:v>파일 정보, 미리보기와 재생시간이 새 파일 기준으로 갱신된다.</x:v>
      </x:c>
      <x:c r="J112" s="37" t="str">
        <x:v>미실행</x:v>
      </x:c>
      <x:c r="K112" s="37" t="str"/>
      <x:c r="L112" s="31" t="str"/>
      <x:c r="M112" s="31" t="str"/>
      <x:c r="N112" s="31" t="str"/>
      <x:c r="O112" s="40"/>
      <x:c r="P112" s="31" t="str">
        <x:v>기획서 §6.2~6.3, 사용자 확정 2026-08-03</x:v>
      </x:c>
      <x:c r="Q112" s="44" t="str"/>
    </x:row>
    <x:row r="113" ht="54" customHeight="1">
      <x:c r="A113" s="34" t="str">
        <x:v>QA-108</x:v>
      </x:c>
      <x:c r="B113" s="34" t="str">
        <x:v>강의 콘텐츠 관리</x:v>
      </x:c>
      <x:c r="C113" s="34" t="str">
        <x:v>신규·운영 크리에이터</x:v>
      </x:c>
      <x:c r="D113" s="34" t="str">
        <x:v>필수</x:v>
      </x:c>
      <x:c r="E113" s="34" t="str">
        <x:v>예외 상황</x:v>
      </x:c>
      <x:c r="F113" s="31" t="str">
        <x:v>영상 정보 처리 실패</x:v>
      </x:c>
      <x:c r="G113" s="31" t="str">
        <x:v>손상되거나 영상 정보를 읽을 수 없는 파일</x:v>
      </x:c>
      <x:c r="H113" s="31" t="str">
        <x:v>파일 선택</x:v>
      </x:c>
      <x:c r="I113" s="31" t="str">
        <x:v>영상 정보를 확인하지 못했다는 오류와 재선택 안내를 표시한다.</x:v>
      </x:c>
      <x:c r="J113" s="37" t="str">
        <x:v>미실행</x:v>
      </x:c>
      <x:c r="K113" s="37" t="str"/>
      <x:c r="L113" s="31" t="str"/>
      <x:c r="M113" s="31" t="str"/>
      <x:c r="N113" s="31" t="str"/>
      <x:c r="O113" s="40"/>
      <x:c r="P113" s="31" t="str">
        <x:v>기획서 §6.2~6.3, 사용자 확정 2026-08-03</x:v>
      </x:c>
      <x:c r="Q113" s="44" t="str"/>
    </x:row>
    <x:row r="114" ht="54" customHeight="1">
      <x:c r="A114" s="34" t="str">
        <x:v>QA-109</x:v>
      </x:c>
      <x:c r="B114" s="34" t="str">
        <x:v>강의 콘텐츠 관리</x:v>
      </x:c>
      <x:c r="C114" s="34" t="str">
        <x:v>신규·운영 크리에이터</x:v>
      </x:c>
      <x:c r="D114" s="34" t="str">
        <x:v>필수</x:v>
      </x:c>
      <x:c r="E114" s="34" t="str">
        <x:v>입력 확인</x:v>
      </x:c>
      <x:c r="F114" s="31" t="str">
        <x:v>자료 제목·파일 쌍</x:v>
      </x:c>
      <x:c r="G114" s="31" t="str">
        <x:v>자료 행 추가</x:v>
      </x:c>
      <x:c r="H114" s="31" t="str">
        <x:v>제목 또는 파일만 입력 후 저장</x:v>
      </x:c>
      <x:c r="I114" s="31" t="str">
        <x:v>추가한 자료의 제목과 파일을 모두 요구한다.</x:v>
      </x:c>
      <x:c r="J114" s="37" t="str">
        <x:v>미실행</x:v>
      </x:c>
      <x:c r="K114" s="37" t="str"/>
      <x:c r="L114" s="31" t="str"/>
      <x:c r="M114" s="31" t="str"/>
      <x:c r="N114" s="31" t="str"/>
      <x:c r="O114" s="40"/>
      <x:c r="P114" s="31" t="str">
        <x:v>기획서 §6.2~6.3, 사용자 확정 2026-08-03</x:v>
      </x:c>
      <x:c r="Q114" s="44" t="str"/>
    </x:row>
    <x:row r="115" ht="54" customHeight="1">
      <x:c r="A115" s="34" t="str">
        <x:v>QA-110</x:v>
      </x:c>
      <x:c r="B115" s="34" t="str">
        <x:v>강의 콘텐츠 관리</x:v>
      </x:c>
      <x:c r="C115" s="34" t="str">
        <x:v>신규·운영 크리에이터</x:v>
      </x:c>
      <x:c r="D115" s="34" t="str">
        <x:v>필수</x:v>
      </x:c>
      <x:c r="E115" s="34" t="str">
        <x:v>파일</x:v>
      </x:c>
      <x:c r="F115" s="31" t="str">
        <x:v>자료 허용 형식</x:v>
      </x:c>
      <x:c r="G115" s="31" t="str">
        <x:v>문서·이미지·ZIP 및 비허용 파일 준비</x:v>
      </x:c>
      <x:c r="H115" s="31" t="str">
        <x:v>각 파일 선택</x:v>
      </x:c>
      <x:c r="I115" s="31" t="str">
        <x:v>정책의 허용 확장자만 처리한다.</x:v>
      </x:c>
      <x:c r="J115" s="37" t="str">
        <x:v>미실행</x:v>
      </x:c>
      <x:c r="K115" s="37" t="str"/>
      <x:c r="L115" s="31" t="str"/>
      <x:c r="M115" s="31" t="str"/>
      <x:c r="N115" s="31" t="str"/>
      <x:c r="O115" s="40"/>
      <x:c r="P115" s="31" t="str">
        <x:v>기획서 §6.2~6.3, 사용자 확정 2026-08-03</x:v>
      </x:c>
      <x:c r="Q115" s="44" t="str"/>
    </x:row>
    <x:row r="116" ht="54" customHeight="1">
      <x:c r="A116" s="34" t="str">
        <x:v>QA-111</x:v>
      </x:c>
      <x:c r="B116" s="34" t="str">
        <x:v>강의 콘텐츠 관리</x:v>
      </x:c>
      <x:c r="C116" s="34" t="str">
        <x:v>신규·운영 크리에이터</x:v>
      </x:c>
      <x:c r="D116" s="34" t="str">
        <x:v>필수</x:v>
      </x:c>
      <x:c r="E116" s="34" t="str">
        <x:v>한계값</x:v>
      </x:c>
      <x:c r="F116" s="31" t="str">
        <x:v>자료 50MB 용량 제한</x:v>
      </x:c>
      <x:c r="G116" s="31" t="str">
        <x:v>50MB 이하/초과 파일</x:v>
      </x:c>
      <x:c r="H116" s="31" t="str">
        <x:v>각 파일 선택</x:v>
      </x:c>
      <x:c r="I116" s="31" t="str">
        <x:v>50MB 이하는 허용하고 초과 파일은 차단한다.</x:v>
      </x:c>
      <x:c r="J116" s="37" t="str">
        <x:v>미실행</x:v>
      </x:c>
      <x:c r="K116" s="37" t="str"/>
      <x:c r="L116" s="31" t="str"/>
      <x:c r="M116" s="31" t="str"/>
      <x:c r="N116" s="31" t="str"/>
      <x:c r="O116" s="40"/>
      <x:c r="P116" s="31" t="str">
        <x:v>기획서 §6.2~6.3, 사용자 확정 2026-08-03</x:v>
      </x:c>
      <x:c r="Q116" s="44" t="str"/>
    </x:row>
    <x:row r="117" ht="54" customHeight="1">
      <x:c r="A117" s="34" t="str">
        <x:v>QA-112</x:v>
      </x:c>
      <x:c r="B117" s="34" t="str">
        <x:v>강의 콘텐츠 관리</x:v>
      </x:c>
      <x:c r="C117" s="34" t="str">
        <x:v>신규·운영 크리에이터</x:v>
      </x:c>
      <x:c r="D117" s="34" t="str">
        <x:v>중요</x:v>
      </x:c>
      <x:c r="E117" s="34" t="str">
        <x:v>순서</x:v>
      </x:c>
      <x:c r="F117" s="31" t="str">
        <x:v>영상 순서 변경</x:v>
      </x:c>
      <x:c r="G117" s="31" t="str">
        <x:v>영상 3개 이상</x:v>
      </x:c>
      <x:c r="H117" s="31" t="str">
        <x:v>순서를 변경하고 저장 후 수강생 화면 확인</x:v>
      </x:c>
      <x:c r="I117" s="31" t="str">
        <x:v>저장한 순서대로 클래스 상세와 내 학습에 표시된다.</x:v>
      </x:c>
      <x:c r="J117" s="37" t="str">
        <x:v>미실행</x:v>
      </x:c>
      <x:c r="K117" s="37" t="str"/>
      <x:c r="L117" s="31" t="str"/>
      <x:c r="M117" s="31" t="str"/>
      <x:c r="N117" s="31" t="str"/>
      <x:c r="O117" s="40"/>
      <x:c r="P117" s="31" t="str">
        <x:v>기획서 §6.2~6.3, 사용자 확정 2026-08-03</x:v>
      </x:c>
      <x:c r="Q117" s="44" t="str"/>
    </x:row>
    <x:row r="118" ht="54" customHeight="1">
      <x:c r="A118" s="34" t="str">
        <x:v>QA-113</x:v>
      </x:c>
      <x:c r="B118" s="34" t="str">
        <x:v>강의 콘텐츠 관리</x:v>
      </x:c>
      <x:c r="C118" s="34" t="str">
        <x:v>신규·운영 크리에이터</x:v>
      </x:c>
      <x:c r="D118" s="34" t="str">
        <x:v>필수</x:v>
      </x:c>
      <x:c r="E118" s="34" t="str">
        <x:v>오류 후 다시 시도</x:v>
      </x:c>
      <x:c r="F118" s="31" t="str">
        <x:v>파일 업로드 실패</x:v>
      </x:c>
      <x:c r="G118" s="31" t="str">
        <x:v>인터넷 연결 실패 유도</x:v>
      </x:c>
      <x:c r="H118" s="31" t="str">
        <x:v>업로드 실행</x:v>
      </x:c>
      <x:c r="I118" s="31" t="str">
        <x:v>다른 작성값을 유지하며 실패와 재시도를 안내한다.</x:v>
      </x:c>
      <x:c r="J118" s="37" t="str">
        <x:v>미실행</x:v>
      </x:c>
      <x:c r="K118" s="37" t="str"/>
      <x:c r="L118" s="31" t="str"/>
      <x:c r="M118" s="31" t="str"/>
      <x:c r="N118" s="31" t="str"/>
      <x:c r="O118" s="40"/>
      <x:c r="P118" s="31" t="str">
        <x:v>기획서 §6.2~6.3, 사용자 확정 2026-08-03</x:v>
      </x:c>
      <x:c r="Q118" s="44" t="str"/>
    </x:row>
    <x:row r="119" ht="54" customHeight="1">
      <x:c r="A119" s="34" t="str">
        <x:v>QA-114</x:v>
      </x:c>
      <x:c r="B119" s="34" t="str">
        <x:v>강의 콘텐츠 관리</x:v>
      </x:c>
      <x:c r="C119" s="34" t="str">
        <x:v>신규·운영 크리에이터</x:v>
      </x:c>
      <x:c r="D119" s="34" t="str">
        <x:v>필수</x:v>
      </x:c>
      <x:c r="E119" s="34" t="str">
        <x:v>오류 후 다시 시도</x:v>
      </x:c>
      <x:c r="F119" s="31" t="str">
        <x:v>서비스 저장 실패</x:v>
      </x:c>
      <x:c r="G119" s="31" t="str">
        <x:v>저장 데이터 요청 실패</x:v>
      </x:c>
      <x:c r="H119" s="31" t="str">
        <x:v>저장 선택</x:v>
      </x:c>
      <x:c r="I119" s="31" t="str">
        <x:v>입력값과 선택 정보를 유지하고 다시 시도할 수 있다.</x:v>
      </x:c>
      <x:c r="J119" s="37" t="str">
        <x:v>미실행</x:v>
      </x:c>
      <x:c r="K119" s="37" t="str"/>
      <x:c r="L119" s="31" t="str"/>
      <x:c r="M119" s="31" t="str"/>
      <x:c r="N119" s="31" t="str"/>
      <x:c r="O119" s="40"/>
      <x:c r="P119" s="31" t="str">
        <x:v>기획서 §6.2~6.3, 사용자 확정 2026-08-03</x:v>
      </x:c>
      <x:c r="Q119" s="44" t="str"/>
    </x:row>
    <x:row r="120" ht="54" customHeight="1">
      <x:c r="A120" s="34" t="str">
        <x:v>QA-115</x:v>
      </x:c>
      <x:c r="B120" s="34" t="str">
        <x:v>강의 콘텐츠 관리</x:v>
      </x:c>
      <x:c r="C120" s="34" t="str">
        <x:v>신규·운영 크리에이터</x:v>
      </x:c>
      <x:c r="D120" s="34" t="str">
        <x:v>중요</x:v>
      </x:c>
      <x:c r="E120" s="34" t="str">
        <x:v>작성 중 나가기</x:v>
      </x:c>
      <x:c r="F120" s="31" t="str">
        <x:v>변경 후 관리자 메뉴 이동</x:v>
      </x:c>
      <x:c r="G120" s="31" t="str">
        <x:v>입력값 변경</x:v>
      </x:c>
      <x:c r="H120" s="31" t="str">
        <x:v>다른 관리자 메뉴 선택</x:v>
      </x:c>
      <x:c r="I120" s="31" t="str">
        <x:v>계속 작성/저장하지 않고 나가기 팝업을 표시한다.</x:v>
      </x:c>
      <x:c r="J120" s="37" t="str">
        <x:v>미실행</x:v>
      </x:c>
      <x:c r="K120" s="37" t="str"/>
      <x:c r="L120" s="31" t="str"/>
      <x:c r="M120" s="31" t="str"/>
      <x:c r="N120" s="31" t="str"/>
      <x:c r="O120" s="40"/>
      <x:c r="P120" s="31" t="str">
        <x:v>기획서 §6.2~6.3, 사용자 확정 2026-08-03</x:v>
      </x:c>
      <x:c r="Q120" s="44" t="str"/>
    </x:row>
    <x:row r="121" ht="54" customHeight="1">
      <x:c r="A121" s="34" t="str">
        <x:v>QA-116</x:v>
      </x:c>
      <x:c r="B121" s="34" t="str">
        <x:v>강의 콘텐츠 관리</x:v>
      </x:c>
      <x:c r="C121" s="34" t="str">
        <x:v>신규·운영 크리에이터</x:v>
      </x:c>
      <x:c r="D121" s="34" t="str">
        <x:v>중요</x:v>
      </x:c>
      <x:c r="E121" s="34" t="str">
        <x:v>작성 중 나가기</x:v>
      </x:c>
      <x:c r="F121" s="31" t="str">
        <x:v>변경 없는 화면 이탈</x:v>
      </x:c>
      <x:c r="G121" s="31" t="str">
        <x:v>수정 화면 진입 후 변경 없음</x:v>
      </x:c>
      <x:c r="H121" s="31" t="str">
        <x:v>목록으로 이동</x:v>
      </x:c>
      <x:c r="I121" s="31" t="str">
        <x:v>불필요한 이탈 확인 없이 이동한다.</x:v>
      </x:c>
      <x:c r="J121" s="37" t="str">
        <x:v>미실행</x:v>
      </x:c>
      <x:c r="K121" s="37" t="str"/>
      <x:c r="L121" s="31" t="str"/>
      <x:c r="M121" s="31" t="str"/>
      <x:c r="N121" s="31" t="str"/>
      <x:c r="O121" s="40"/>
      <x:c r="P121" s="31" t="str">
        <x:v>기획서 §6.2~6.3, 사용자 확정 2026-08-03</x:v>
      </x:c>
      <x:c r="Q121" s="44" t="str"/>
    </x:row>
    <x:row r="122" ht="54" customHeight="1">
      <x:c r="A122" s="34" t="str">
        <x:v>QA-117</x:v>
      </x:c>
      <x:c r="B122" s="34" t="str">
        <x:v>클래스 관리</x:v>
      </x:c>
      <x:c r="C122" s="34" t="str">
        <x:v>크리에이터</x:v>
      </x:c>
      <x:c r="D122" s="34" t="str">
        <x:v>필수</x:v>
      </x:c>
      <x:c r="E122" s="34" t="str">
        <x:v>기본 동작</x:v>
      </x:c>
      <x:c r="F122" s="31" t="str">
        <x:v>클래스 목록 카드</x:v>
      </x:c>
      <x:c r="G122" s="31" t="str">
        <x:v>클래스 존재</x:v>
      </x:c>
      <x:c r="H122" s="31" t="str">
        <x:v>클래스 관리 진입</x:v>
      </x:c>
      <x:c r="I122" s="31" t="str">
        <x:v>클래스명, 소개, 가격, 모집·수강 정보, 조건, 연결 콘텐츠와 공개 상태가 표시된다.</x:v>
      </x:c>
      <x:c r="J122" s="37" t="str">
        <x:v>미실행</x:v>
      </x:c>
      <x:c r="K122" s="37" t="str"/>
      <x:c r="L122" s="31" t="str"/>
      <x:c r="M122" s="31" t="str"/>
      <x:c r="N122" s="31" t="str"/>
      <x:c r="O122" s="40"/>
      <x:c r="P122" s="31" t="str">
        <x:v>기획서 §6.4</x:v>
      </x:c>
      <x:c r="Q122" s="44" t="str"/>
    </x:row>
    <x:row r="123" ht="54" customHeight="1">
      <x:c r="A123" s="34" t="str">
        <x:v>QA-118</x:v>
      </x:c>
      <x:c r="B123" s="34" t="str">
        <x:v>클래스 관리</x:v>
      </x:c>
      <x:c r="C123" s="34" t="str">
        <x:v>크리에이터</x:v>
      </x:c>
      <x:c r="D123" s="34" t="str">
        <x:v>필수</x:v>
      </x:c>
      <x:c r="E123" s="34" t="str">
        <x:v>기본 동작</x:v>
      </x:c>
      <x:c r="F123" s="31" t="str">
        <x:v>클래스 복제</x:v>
      </x:c>
      <x:c r="G123" s="31" t="str">
        <x:v>기존 클래스 존재</x:v>
      </x:c>
      <x:c r="H123" s="31" t="str">
        <x:v>복제 선택</x:v>
      </x:c>
      <x:c r="I123" s="31" t="str">
        <x:v>설정과 연결 콘텐츠를 복사한 비공개·결제 0건 복제본이 생성된다.</x:v>
      </x:c>
      <x:c r="J123" s="37" t="str">
        <x:v>미실행</x:v>
      </x:c>
      <x:c r="K123" s="37" t="str"/>
      <x:c r="L123" s="31" t="str"/>
      <x:c r="M123" s="31" t="str"/>
      <x:c r="N123" s="31" t="str"/>
      <x:c r="O123" s="40"/>
      <x:c r="P123" s="31" t="str">
        <x:v>기획서 §6.4</x:v>
      </x:c>
      <x:c r="Q123" s="44" t="str"/>
    </x:row>
    <x:row r="124" ht="54" customHeight="1">
      <x:c r="A124" s="34" t="str">
        <x:v>QA-119</x:v>
      </x:c>
      <x:c r="B124" s="34" t="str">
        <x:v>클래스 관리</x:v>
      </x:c>
      <x:c r="C124" s="34" t="str">
        <x:v>크리에이터</x:v>
      </x:c>
      <x:c r="D124" s="34" t="str">
        <x:v>필수</x:v>
      </x:c>
      <x:c r="E124" s="34" t="str">
        <x:v>수정·삭제 제한</x:v>
      </x:c>
      <x:c r="F124" s="31" t="str">
        <x:v>결제 이력 클래스 삭제 차단</x:v>
      </x:c>
      <x:c r="G124" s="31" t="str">
        <x:v>결제 이력 1건 이상</x:v>
      </x:c>
      <x:c r="H124" s="31" t="str">
        <x:v>삭제 선택</x:v>
      </x:c>
      <x:c r="I124" s="31" t="str">
        <x:v>삭제하지 않고 고객센터 문의를 안내한다.</x:v>
      </x:c>
      <x:c r="J124" s="37" t="str">
        <x:v>미실행</x:v>
      </x:c>
      <x:c r="K124" s="37" t="str"/>
      <x:c r="L124" s="31" t="str"/>
      <x:c r="M124" s="31" t="str"/>
      <x:c r="N124" s="31" t="str"/>
      <x:c r="O124" s="40"/>
      <x:c r="P124" s="31" t="str">
        <x:v>기획서 §6.4</x:v>
      </x:c>
      <x:c r="Q124" s="44" t="str"/>
    </x:row>
    <x:row r="125" ht="54" customHeight="1">
      <x:c r="A125" s="34" t="str">
        <x:v>QA-120</x:v>
      </x:c>
      <x:c r="B125" s="34" t="str">
        <x:v>클래스 관리</x:v>
      </x:c>
      <x:c r="C125" s="34" t="str">
        <x:v>크리에이터</x:v>
      </x:c>
      <x:c r="D125" s="34" t="str">
        <x:v>필수</x:v>
      </x:c>
      <x:c r="E125" s="34" t="str">
        <x:v>기본 동작</x:v>
      </x:c>
      <x:c r="F125" s="31" t="str">
        <x:v>결제 이력 없는 클래스 삭제</x:v>
      </x:c>
      <x:c r="G125" s="31" t="str">
        <x:v>결제 이력 0건</x:v>
      </x:c>
      <x:c r="H125" s="31" t="str">
        <x:v>삭제 확인 팝업에서 삭제</x:v>
      </x:c>
      <x:c r="I125" s="31" t="str">
        <x:v>클래스와 콘텐츠 연결 관계가 제거되고 목록이 갱신된다.</x:v>
      </x:c>
      <x:c r="J125" s="37" t="str">
        <x:v>미실행</x:v>
      </x:c>
      <x:c r="K125" s="37" t="str"/>
      <x:c r="L125" s="31" t="str"/>
      <x:c r="M125" s="31" t="str"/>
      <x:c r="N125" s="31" t="str"/>
      <x:c r="O125" s="40"/>
      <x:c r="P125" s="31" t="str">
        <x:v>기획서 §6.4</x:v>
      </x:c>
      <x:c r="Q125" s="44" t="str"/>
    </x:row>
    <x:row r="126" ht="54" customHeight="1">
      <x:c r="A126" s="34" t="str">
        <x:v>QA-121</x:v>
      </x:c>
      <x:c r="B126" s="34" t="str">
        <x:v>클래스 관리</x:v>
      </x:c>
      <x:c r="C126" s="34" t="str">
        <x:v>크리에이터</x:v>
      </x:c>
      <x:c r="D126" s="34" t="str">
        <x:v>중요</x:v>
      </x:c>
      <x:c r="E126" s="34" t="str">
        <x:v>작성 단계</x:v>
      </x:c>
      <x:c r="F126" s="31" t="str">
        <x:v>7단계 자유 이동</x:v>
      </x:c>
      <x:c r="G126" s="31" t="str">
        <x:v>새 클래스 등록</x:v>
      </x:c>
      <x:c r="H126" s="31" t="str">
        <x:v>상단 단계와 이전/다음으로 순서·비순서 이동</x:v>
      </x:c>
      <x:c r="I126" s="31" t="str">
        <x:v>항상 한 단계만 표시되고 작성값이 유지된다.</x:v>
      </x:c>
      <x:c r="J126" s="37" t="str">
        <x:v>미실행</x:v>
      </x:c>
      <x:c r="K126" s="37" t="str"/>
      <x:c r="L126" s="31" t="str"/>
      <x:c r="M126" s="31" t="str"/>
      <x:c r="N126" s="31" t="str"/>
      <x:c r="O126" s="40"/>
      <x:c r="P126" s="31" t="str">
        <x:v>기획서 §6.4</x:v>
      </x:c>
      <x:c r="Q126" s="44" t="str"/>
    </x:row>
    <x:row r="127" ht="54" customHeight="1">
      <x:c r="A127" s="34" t="str">
        <x:v>QA-122</x:v>
      </x:c>
      <x:c r="B127" s="34" t="str">
        <x:v>클래스 관리</x:v>
      </x:c>
      <x:c r="C127" s="34" t="str">
        <x:v>크리에이터</x:v>
      </x:c>
      <x:c r="D127" s="34" t="str">
        <x:v>필수</x:v>
      </x:c>
      <x:c r="E127" s="34" t="str">
        <x:v>입력 확인</x:v>
      </x:c>
      <x:c r="F127" s="31" t="str">
        <x:v>전체 단계 저장 검증</x:v>
      </x:c>
      <x:c r="G127" s="31" t="str">
        <x:v>마지막 단계에서 앞 단계 필수값 누락</x:v>
      </x:c>
      <x:c r="H127" s="31" t="str">
        <x:v>저장 선택</x:v>
      </x:c>
      <x:c r="I127" s="31" t="str">
        <x:v>가장 앞선 오류 단계로 전환해 오류와 선택 위치를 표시한다.</x:v>
      </x:c>
      <x:c r="J127" s="37" t="str">
        <x:v>미실행</x:v>
      </x:c>
      <x:c r="K127" s="37" t="str"/>
      <x:c r="L127" s="31" t="str"/>
      <x:c r="M127" s="31" t="str"/>
      <x:c r="N127" s="31" t="str"/>
      <x:c r="O127" s="40"/>
      <x:c r="P127" s="31" t="str">
        <x:v>기획서 §6.4</x:v>
      </x:c>
      <x:c r="Q127" s="44" t="str"/>
    </x:row>
    <x:row r="128" ht="54" customHeight="1">
      <x:c r="A128" s="34" t="str">
        <x:v>QA-123</x:v>
      </x:c>
      <x:c r="B128" s="34" t="str">
        <x:v>클래스 관리</x:v>
      </x:c>
      <x:c r="C128" s="34" t="str">
        <x:v>크리에이터</x:v>
      </x:c>
      <x:c r="D128" s="34" t="str">
        <x:v>필수</x:v>
      </x:c>
      <x:c r="E128" s="34" t="str">
        <x:v>입력 확인</x:v>
      </x:c>
      <x:c r="F128" s="31" t="str">
        <x:v>클래스 정보 전체 필수</x:v>
      </x:c>
      <x:c r="G128" s="31" t="str">
        <x:v>새 클래스 등록</x:v>
      </x:c>
      <x:c r="H128" s="31" t="str">
        <x:v>각 필수값을 하나씩 비우고 저장</x:v>
      </x:c>
      <x:c r="I128" s="31" t="str">
        <x:v>클래스명, 소개, 상세, 이미지, 카테고리, 난이도, 태그 누락을 각각 차단한다.</x:v>
      </x:c>
      <x:c r="J128" s="37" t="str">
        <x:v>미실행</x:v>
      </x:c>
      <x:c r="K128" s="37" t="str"/>
      <x:c r="L128" s="31" t="str"/>
      <x:c r="M128" s="31" t="str"/>
      <x:c r="N128" s="31" t="str"/>
      <x:c r="O128" s="40"/>
      <x:c r="P128" s="31" t="str">
        <x:v>기획서 §6.4</x:v>
      </x:c>
      <x:c r="Q128" s="44" t="str"/>
    </x:row>
    <x:row r="129" ht="54" customHeight="1">
      <x:c r="A129" s="34" t="str">
        <x:v>QA-124</x:v>
      </x:c>
      <x:c r="B129" s="34" t="str">
        <x:v>클래스 관리</x:v>
      </x:c>
      <x:c r="C129" s="34" t="str">
        <x:v>크리에이터</x:v>
      </x:c>
      <x:c r="D129" s="34" t="str">
        <x:v>중요</x:v>
      </x:c>
      <x:c r="E129" s="34" t="str">
        <x:v>기본 동작</x:v>
      </x:c>
      <x:c r="F129" s="31" t="str">
        <x:v>상세 소개 에디터</x:v>
      </x:c>
      <x:c r="G129" s="31" t="str">
        <x:v>클래스 정보 단계</x:v>
      </x:c>
      <x:c r="H129" s="31" t="str">
        <x:v>서식, 목록, 링크와 이미지 삽입</x:v>
      </x:c>
      <x:c r="I129" s="31" t="str">
        <x:v>편집 결과가 저장되고 공개 상세에 안전하게 표시된다.</x:v>
      </x:c>
      <x:c r="J129" s="37" t="str">
        <x:v>미실행</x:v>
      </x:c>
      <x:c r="K129" s="37" t="str"/>
      <x:c r="L129" s="31" t="str"/>
      <x:c r="M129" s="31" t="str"/>
      <x:c r="N129" s="31" t="str"/>
      <x:c r="O129" s="40"/>
      <x:c r="P129" s="31" t="str">
        <x:v>기획서 §6.4</x:v>
      </x:c>
      <x:c r="Q129" s="44" t="str"/>
    </x:row>
    <x:row r="130" ht="54" customHeight="1">
      <x:c r="A130" s="34" t="str">
        <x:v>QA-125</x:v>
      </x:c>
      <x:c r="B130" s="34" t="str">
        <x:v>클래스 관리</x:v>
      </x:c>
      <x:c r="C130" s="34" t="str">
        <x:v>크리에이터</x:v>
      </x:c>
      <x:c r="D130" s="34" t="str">
        <x:v>필수</x:v>
      </x:c>
      <x:c r="E130" s="34" t="str">
        <x:v>안전 확인</x:v>
      </x:c>
      <x:c r="F130" s="31" t="str">
        <x:v>상세 소개 스크립트 입력</x:v>
      </x:c>
      <x:c r="G130" s="31" t="str">
        <x:v>에디터 접근</x:v>
      </x:c>
      <x:c r="H130" s="31" t="str">
        <x:v>스크립트/이벤트 속성 HTML 입력 후 저장·공개</x:v>
      </x:c>
      <x:c r="I130" s="31" t="str">
        <x:v>위험한 코드가 실행되지 않고 안전하게 정제된다.</x:v>
      </x:c>
      <x:c r="J130" s="37" t="str">
        <x:v>미실행</x:v>
      </x:c>
      <x:c r="K130" s="37" t="str"/>
      <x:c r="L130" s="31" t="str"/>
      <x:c r="M130" s="31" t="str"/>
      <x:c r="N130" s="31" t="str"/>
      <x:c r="O130" s="40"/>
      <x:c r="P130" s="31" t="str">
        <x:v>기획서 §6.4</x:v>
      </x:c>
      <x:c r="Q130" s="44" t="str"/>
    </x:row>
    <x:row r="131" ht="54" customHeight="1">
      <x:c r="A131" s="34" t="str">
        <x:v>QA-126</x:v>
      </x:c>
      <x:c r="B131" s="34" t="str">
        <x:v>클래스 관리</x:v>
      </x:c>
      <x:c r="C131" s="34" t="str">
        <x:v>크리에이터</x:v>
      </x:c>
      <x:c r="D131" s="34" t="str">
        <x:v>필수</x:v>
      </x:c>
      <x:c r="E131" s="34" t="str">
        <x:v>입력 확인</x:v>
      </x:c>
      <x:c r="F131" s="31" t="str">
        <x:v>강의 콘텐츠 1개 이상</x:v>
      </x:c>
      <x:c r="G131" s="31" t="str">
        <x:v>연결 단계</x:v>
      </x:c>
      <x:c r="H131" s="31" t="str">
        <x:v>모든 콘텐츠 선택 해제 후 저장</x:v>
      </x:c>
      <x:c r="I131" s="31" t="str">
        <x:v>1개 이상 선택하도록 안내한다.</x:v>
      </x:c>
      <x:c r="J131" s="37" t="str">
        <x:v>미실행</x:v>
      </x:c>
      <x:c r="K131" s="37" t="str"/>
      <x:c r="L131" s="31" t="str"/>
      <x:c r="M131" s="31" t="str"/>
      <x:c r="N131" s="31" t="str"/>
      <x:c r="O131" s="40"/>
      <x:c r="P131" s="31" t="str">
        <x:v>기획서 §6.4</x:v>
      </x:c>
      <x:c r="Q131" s="44" t="str"/>
    </x:row>
    <x:row r="132" ht="54" customHeight="1">
      <x:c r="A132" s="34" t="str">
        <x:v>QA-127</x:v>
      </x:c>
      <x:c r="B132" s="34" t="str">
        <x:v>클래스 관리</x:v>
      </x:c>
      <x:c r="C132" s="34" t="str">
        <x:v>크리에이터</x:v>
      </x:c>
      <x:c r="D132" s="34" t="str">
        <x:v>중요</x:v>
      </x:c>
      <x:c r="E132" s="34" t="str">
        <x:v>순서</x:v>
      </x:c>
      <x:c r="F132" s="31" t="str">
        <x:v>복수 콘텐츠 우선순위</x:v>
      </x:c>
      <x:c r="G132" s="31" t="str">
        <x:v>콘텐츠 3개 선택</x:v>
      </x:c>
      <x:c r="H132" s="31" t="str">
        <x:v>순서 지정 후 저장·수강생 화면 확인</x:v>
      </x:c>
      <x:c r="I132" s="31" t="str">
        <x:v>선택 우선순위대로 영상과 자료가 표시된다.</x:v>
      </x:c>
      <x:c r="J132" s="37" t="str">
        <x:v>미실행</x:v>
      </x:c>
      <x:c r="K132" s="37" t="str"/>
      <x:c r="L132" s="31" t="str"/>
      <x:c r="M132" s="31" t="str"/>
      <x:c r="N132" s="31" t="str"/>
      <x:c r="O132" s="40"/>
      <x:c r="P132" s="31" t="str">
        <x:v>기획서 §6.4</x:v>
      </x:c>
      <x:c r="Q132" s="44" t="str"/>
    </x:row>
    <x:row r="133" ht="54" customHeight="1">
      <x:c r="A133" s="34" t="str">
        <x:v>QA-128</x:v>
      </x:c>
      <x:c r="B133" s="34" t="str">
        <x:v>클래스 관리</x:v>
      </x:c>
      <x:c r="C133" s="34" t="str">
        <x:v>크리에이터</x:v>
      </x:c>
      <x:c r="D133" s="34" t="str">
        <x:v>필수</x:v>
      </x:c>
      <x:c r="E133" s="34" t="str">
        <x:v>입력 확인</x:v>
      </x:c>
      <x:c r="F133" s="31" t="str">
        <x:v>수강 조건 없음과 선수 클래스 둘 중 하나만 선택</x:v>
      </x:c>
      <x:c r="G133" s="31" t="str">
        <x:v>수강 조건 단계</x:v>
      </x:c>
      <x:c r="H133" s="31" t="str">
        <x:v>조건 없음과 선수 클래스를 함께 선택</x:v>
      </x:c>
      <x:c r="I133" s="31" t="str">
        <x:v>동시 선택할 수 없고 하나의 정책만 저장된다.</x:v>
      </x:c>
      <x:c r="J133" s="37" t="str">
        <x:v>미실행</x:v>
      </x:c>
      <x:c r="K133" s="37" t="str"/>
      <x:c r="L133" s="31" t="str"/>
      <x:c r="M133" s="31" t="str"/>
      <x:c r="N133" s="31" t="str"/>
      <x:c r="O133" s="40"/>
      <x:c r="P133" s="31" t="str">
        <x:v>기획서 §6.4</x:v>
      </x:c>
      <x:c r="Q133" s="44" t="str"/>
    </x:row>
    <x:row r="134" ht="54" customHeight="1">
      <x:c r="A134" s="34" t="str">
        <x:v>QA-129</x:v>
      </x:c>
      <x:c r="B134" s="34" t="str">
        <x:v>클래스 관리</x:v>
      </x:c>
      <x:c r="C134" s="34" t="str">
        <x:v>크리에이터</x:v>
      </x:c>
      <x:c r="D134" s="34" t="str">
        <x:v>중요</x:v>
      </x:c>
      <x:c r="E134" s="34" t="str">
        <x:v>기본 동작</x:v>
      </x:c>
      <x:c r="F134" s="31" t="str">
        <x:v>복수 선수 클래스</x:v>
      </x:c>
      <x:c r="G134" s="31" t="str">
        <x:v>선수 클래스 2개 이상</x:v>
      </x:c>
      <x:c r="H134" s="31" t="str">
        <x:v>복수 선택 후 저장</x:v>
      </x:c>
      <x:c r="I134" s="31" t="str">
        <x:v>모든 선택 조건이 저장되고 신청 시 동일하게 검증된다.</x:v>
      </x:c>
      <x:c r="J134" s="37" t="str">
        <x:v>미실행</x:v>
      </x:c>
      <x:c r="K134" s="37" t="str"/>
      <x:c r="L134" s="31" t="str"/>
      <x:c r="M134" s="31" t="str"/>
      <x:c r="N134" s="31" t="str"/>
      <x:c r="O134" s="40"/>
      <x:c r="P134" s="31" t="str">
        <x:v>기획서 §6.4</x:v>
      </x:c>
      <x:c r="Q134" s="44" t="str"/>
    </x:row>
    <x:row r="135" ht="54" customHeight="1">
      <x:c r="A135" s="34" t="str">
        <x:v>QA-130</x:v>
      </x:c>
      <x:c r="B135" s="34" t="str">
        <x:v>클래스 관리</x:v>
      </x:c>
      <x:c r="C135" s="34" t="str">
        <x:v>크리에이터</x:v>
      </x:c>
      <x:c r="D135" s="34" t="str">
        <x:v>필수</x:v>
      </x:c>
      <x:c r="E135" s="34" t="str">
        <x:v>입력 확인</x:v>
      </x:c>
      <x:c r="F135" s="31" t="str">
        <x:v>판매 가격 필수·음수 차단</x:v>
      </x:c>
      <x:c r="G135" s="31" t="str">
        <x:v>기간·가격 단계</x:v>
      </x:c>
      <x:c r="H135" s="31" t="str">
        <x:v>빈 값, 0, 음수와 정상값 저장</x:v>
      </x:c>
      <x:c r="I135" s="31" t="str">
        <x:v>정책에 맞는 가격만 저장되고 최종 금액 표시가 정확하다.</x:v>
      </x:c>
      <x:c r="J135" s="37" t="str">
        <x:v>미실행</x:v>
      </x:c>
      <x:c r="K135" s="37" t="str"/>
      <x:c r="L135" s="31" t="str"/>
      <x:c r="M135" s="31" t="str"/>
      <x:c r="N135" s="31" t="str"/>
      <x:c r="O135" s="40"/>
      <x:c r="P135" s="31" t="str">
        <x:v>기획서 §6.4</x:v>
      </x:c>
      <x:c r="Q135" s="44" t="str"/>
    </x:row>
    <x:row r="136" ht="54" customHeight="1">
      <x:c r="A136" s="34" t="str">
        <x:v>QA-131</x:v>
      </x:c>
      <x:c r="B136" s="34" t="str">
        <x:v>클래스 관리</x:v>
      </x:c>
      <x:c r="C136" s="34" t="str">
        <x:v>크리에이터</x:v>
      </x:c>
      <x:c r="D136" s="34" t="str">
        <x:v>필수</x:v>
      </x:c>
      <x:c r="E136" s="34" t="str">
        <x:v>입력 확인</x:v>
      </x:c>
      <x:c r="F136" s="31" t="str">
        <x:v>할인 가격</x:v>
      </x:c>
      <x:c r="G136" s="31" t="str">
        <x:v>판매 가격 존재</x:v>
      </x:c>
      <x:c r="H136" s="31" t="str">
        <x:v>판매가보다 작음/같음/큼 입력</x:v>
      </x:c>
      <x:c r="I136" s="31" t="str">
        <x:v>판매가보다 작은 값만 허용하고 할인율과 최종 금액이 정확하다.</x:v>
      </x:c>
      <x:c r="J136" s="37" t="str">
        <x:v>미실행</x:v>
      </x:c>
      <x:c r="K136" s="37" t="str"/>
      <x:c r="L136" s="31" t="str"/>
      <x:c r="M136" s="31" t="str"/>
      <x:c r="N136" s="31" t="str"/>
      <x:c r="O136" s="40"/>
      <x:c r="P136" s="31" t="str">
        <x:v>기획서 §6.4</x:v>
      </x:c>
      <x:c r="Q136" s="44" t="str"/>
    </x:row>
    <x:row r="137" ht="54" customHeight="1">
      <x:c r="A137" s="34" t="str">
        <x:v>QA-132</x:v>
      </x:c>
      <x:c r="B137" s="34" t="str">
        <x:v>클래스 관리</x:v>
      </x:c>
      <x:c r="C137" s="34" t="str">
        <x:v>크리에이터</x:v>
      </x:c>
      <x:c r="D137" s="34" t="str">
        <x:v>필수</x:v>
      </x:c>
      <x:c r="E137" s="34" t="str">
        <x:v>입력 확인</x:v>
      </x:c>
      <x:c r="F137" s="31" t="str">
        <x:v>날짜 지정 모집 기간</x:v>
      </x:c>
      <x:c r="G137" s="31" t="str">
        <x:v>상시 모집 해제</x:v>
      </x:c>
      <x:c r="H137" s="31" t="str">
        <x:v>시작일 이후/같은/이전 종료일 저장</x:v>
      </x:c>
      <x:c r="I137" s="31" t="str">
        <x:v>종료일이 시작일보다 빠른 경우 저장을 차단한다.</x:v>
      </x:c>
      <x:c r="J137" s="37" t="str">
        <x:v>미실행</x:v>
      </x:c>
      <x:c r="K137" s="37" t="str"/>
      <x:c r="L137" s="31" t="str"/>
      <x:c r="M137" s="31" t="str"/>
      <x:c r="N137" s="31" t="str"/>
      <x:c r="O137" s="40"/>
      <x:c r="P137" s="31" t="str">
        <x:v>기획서 §6.4</x:v>
      </x:c>
      <x:c r="Q137" s="44" t="str"/>
    </x:row>
    <x:row r="138" ht="54" customHeight="1">
      <x:c r="A138" s="34" t="str">
        <x:v>QA-133</x:v>
      </x:c>
      <x:c r="B138" s="34" t="str">
        <x:v>클래스 관리</x:v>
      </x:c>
      <x:c r="C138" s="34" t="str">
        <x:v>크리에이터</x:v>
      </x:c>
      <x:c r="D138" s="34" t="str">
        <x:v>필수</x:v>
      </x:c>
      <x:c r="E138" s="34" t="str">
        <x:v>선택에 따른 변경</x:v>
      </x:c>
      <x:c r="F138" s="31" t="str">
        <x:v>상시 모집과 결제 즉시 수강</x:v>
      </x:c>
      <x:c r="G138" s="31" t="str">
        <x:v>기간·가격 단계</x:v>
      </x:c>
      <x:c r="H138" s="31" t="str">
        <x:v>상시 모집 선택</x:v>
      </x:c>
      <x:c r="I138" s="31" t="str">
        <x:v>모집 날짜가 비활성화되고 결제 즉시 수강만 선택 가능하다.</x:v>
      </x:c>
      <x:c r="J138" s="37" t="str">
        <x:v>미실행</x:v>
      </x:c>
      <x:c r="K138" s="37" t="str"/>
      <x:c r="L138" s="31" t="str"/>
      <x:c r="M138" s="31" t="str"/>
      <x:c r="N138" s="31" t="str"/>
      <x:c r="O138" s="40"/>
      <x:c r="P138" s="31" t="str">
        <x:v>기획서 §6.4</x:v>
      </x:c>
      <x:c r="Q138" s="44" t="str"/>
    </x:row>
    <x:row r="139" ht="54" customHeight="1">
      <x:c r="A139" s="34" t="str">
        <x:v>QA-134</x:v>
      </x:c>
      <x:c r="B139" s="34" t="str">
        <x:v>클래스 관리</x:v>
      </x:c>
      <x:c r="C139" s="34" t="str">
        <x:v>크리에이터</x:v>
      </x:c>
      <x:c r="D139" s="34" t="str">
        <x:v>필수</x:v>
      </x:c>
      <x:c r="E139" s="34" t="str">
        <x:v>입력 확인</x:v>
      </x:c>
      <x:c r="F139" s="31" t="str">
        <x:v>지정 기간 수강</x:v>
      </x:c>
      <x:c r="G139" s="31" t="str">
        <x:v>지정 기간 방식</x:v>
      </x:c>
      <x:c r="H139" s="31" t="str">
        <x:v>수강 종료일을 시작일보다 이전으로 입력</x:v>
      </x:c>
      <x:c r="I139" s="31" t="str">
        <x:v>저장을 차단하고 해당 날짜를 안내한다.</x:v>
      </x:c>
      <x:c r="J139" s="37" t="str">
        <x:v>미실행</x:v>
      </x:c>
      <x:c r="K139" s="37" t="str"/>
      <x:c r="L139" s="31" t="str"/>
      <x:c r="M139" s="31" t="str"/>
      <x:c r="N139" s="31" t="str"/>
      <x:c r="O139" s="40"/>
      <x:c r="P139" s="31" t="str">
        <x:v>기획서 §6.4</x:v>
      </x:c>
      <x:c r="Q139" s="44" t="str"/>
    </x:row>
    <x:row r="140" ht="54" customHeight="1">
      <x:c r="A140" s="34" t="str">
        <x:v>QA-135</x:v>
      </x:c>
      <x:c r="B140" s="34" t="str">
        <x:v>클래스 관리</x:v>
      </x:c>
      <x:c r="C140" s="34" t="str">
        <x:v>크리에이터</x:v>
      </x:c>
      <x:c r="D140" s="34" t="str">
        <x:v>필수</x:v>
      </x:c>
      <x:c r="E140" s="34" t="str">
        <x:v>한계값</x:v>
      </x:c>
      <x:c r="F140" s="31" t="str">
        <x:v>결제 즉시 수강 일수</x:v>
      </x:c>
      <x:c r="G140" s="31" t="str">
        <x:v>결제 즉시 방식</x:v>
      </x:c>
      <x:c r="H140" s="31" t="str">
        <x:v>0, 음수, 1일 입력</x:v>
      </x:c>
      <x:c r="I140" s="31" t="str">
        <x:v>1일 이상만 저장된다.</x:v>
      </x:c>
      <x:c r="J140" s="37" t="str">
        <x:v>미실행</x:v>
      </x:c>
      <x:c r="K140" s="37" t="str"/>
      <x:c r="L140" s="31" t="str"/>
      <x:c r="M140" s="31" t="str"/>
      <x:c r="N140" s="31" t="str"/>
      <x:c r="O140" s="40"/>
      <x:c r="P140" s="31" t="str">
        <x:v>기획서 §6.4</x:v>
      </x:c>
      <x:c r="Q140" s="44" t="str"/>
    </x:row>
    <x:row r="141" ht="54" customHeight="1">
      <x:c r="A141" s="34" t="str">
        <x:v>QA-136</x:v>
      </x:c>
      <x:c r="B141" s="34" t="str">
        <x:v>클래스 관리</x:v>
      </x:c>
      <x:c r="C141" s="34" t="str">
        <x:v>크리에이터</x:v>
      </x:c>
      <x:c r="D141" s="34" t="str">
        <x:v>필수</x:v>
      </x:c>
      <x:c r="E141" s="34" t="str">
        <x:v>입력 확인</x:v>
      </x:c>
      <x:c r="F141" s="31" t="str">
        <x:v>라이브 일정 수강 기간 범위</x:v>
      </x:c>
      <x:c r="G141" s="31" t="str">
        <x:v>지정 기간 클래스</x:v>
      </x:c>
      <x:c r="H141" s="31" t="str">
        <x:v>기간 전·중·후 일정 저장</x:v>
      </x:c>
      <x:c r="I141" s="31" t="str">
        <x:v>수강 기간 안의 일정만 허용한다.</x:v>
      </x:c>
      <x:c r="J141" s="37" t="str">
        <x:v>미실행</x:v>
      </x:c>
      <x:c r="K141" s="37" t="str"/>
      <x:c r="L141" s="31" t="str"/>
      <x:c r="M141" s="31" t="str"/>
      <x:c r="N141" s="31" t="str"/>
      <x:c r="O141" s="40"/>
      <x:c r="P141" s="31" t="str">
        <x:v>기획서 §6.4</x:v>
      </x:c>
      <x:c r="Q141" s="44" t="str"/>
    </x:row>
    <x:row r="142" ht="54" customHeight="1">
      <x:c r="A142" s="34" t="str">
        <x:v>QA-137</x:v>
      </x:c>
      <x:c r="B142" s="34" t="str">
        <x:v>클래스 관리</x:v>
      </x:c>
      <x:c r="C142" s="34" t="str">
        <x:v>크리에이터</x:v>
      </x:c>
      <x:c r="D142" s="34" t="str">
        <x:v>중요</x:v>
      </x:c>
      <x:c r="E142" s="34" t="str">
        <x:v>기본 동작</x:v>
      </x:c>
      <x:c r="F142" s="31" t="str">
        <x:v>FAQ 추가·삭제</x:v>
      </x:c>
      <x:c r="G142" s="31" t="str">
        <x:v>FAQ 단계</x:v>
      </x:c>
      <x:c r="H142" s="31" t="str">
        <x:v>여러 문답 추가, 중간 항목 삭제 후 저장</x:v>
      </x:c>
      <x:c r="I142" s="31" t="str">
        <x:v>남은 문답과 순서가 정확히 저장·노출된다.</x:v>
      </x:c>
      <x:c r="J142" s="37" t="str">
        <x:v>미실행</x:v>
      </x:c>
      <x:c r="K142" s="37" t="str"/>
      <x:c r="L142" s="31" t="str"/>
      <x:c r="M142" s="31" t="str"/>
      <x:c r="N142" s="31" t="str"/>
      <x:c r="O142" s="40"/>
      <x:c r="P142" s="31" t="str">
        <x:v>기획서 §6.4</x:v>
      </x:c>
      <x:c r="Q142" s="44" t="str"/>
    </x:row>
    <x:row r="143" ht="54" customHeight="1">
      <x:c r="A143" s="34" t="str">
        <x:v>QA-138</x:v>
      </x:c>
      <x:c r="B143" s="34" t="str">
        <x:v>클래스 관리</x:v>
      </x:c>
      <x:c r="C143" s="34" t="str">
        <x:v>크리에이터</x:v>
      </x:c>
      <x:c r="D143" s="34" t="str">
        <x:v>필수</x:v>
      </x:c>
      <x:c r="E143" s="34" t="str">
        <x:v>안내 내용</x:v>
      </x:c>
      <x:c r="F143" s="31" t="str">
        <x:v>환불 정책 읽기 전용</x:v>
      </x:c>
      <x:c r="G143" s="31" t="str">
        <x:v>7단계 진입</x:v>
      </x:c>
      <x:c r="H143" s="31" t="str">
        <x:v>정책 펼치기 및 편집 시도</x:v>
      </x:c>
      <x:c r="I143" s="31" t="str">
        <x:v>공통 정책이 펼쳐지지만 편집할 수 없다.</x:v>
      </x:c>
      <x:c r="J143" s="37" t="str">
        <x:v>미실행</x:v>
      </x:c>
      <x:c r="K143" s="37" t="str"/>
      <x:c r="L143" s="31" t="str"/>
      <x:c r="M143" s="31" t="str"/>
      <x:c r="N143" s="31" t="str"/>
      <x:c r="O143" s="40"/>
      <x:c r="P143" s="31" t="str">
        <x:v>기획서 §6.4</x:v>
      </x:c>
      <x:c r="Q143" s="44" t="str"/>
    </x:row>
    <x:row r="144" ht="54" customHeight="1">
      <x:c r="A144" s="34" t="str">
        <x:v>QA-139</x:v>
      </x:c>
      <x:c r="B144" s="34" t="str">
        <x:v>클래스 관리</x:v>
      </x:c>
      <x:c r="C144" s="34" t="str">
        <x:v>크리에이터</x:v>
      </x:c>
      <x:c r="D144" s="34" t="str">
        <x:v>중요</x:v>
      </x:c>
      <x:c r="E144" s="34" t="str">
        <x:v>미리보기</x:v>
      </x:c>
      <x:c r="F144" s="31" t="str">
        <x:v>작성 중 클래스 미리보기</x:v>
      </x:c>
      <x:c r="G144" s="31" t="str">
        <x:v>폼 값 변경 후 미저장</x:v>
      </x:c>
      <x:c r="H144" s="31" t="str">
        <x:v>미리보기 선택 후 닫기</x:v>
      </x:c>
      <x:c r="I144" s="31" t="str">
        <x:v>작성값을 유지한 채 현재 입력 기준 미리보기를 제공한다.</x:v>
      </x:c>
      <x:c r="J144" s="37" t="str">
        <x:v>미실행</x:v>
      </x:c>
      <x:c r="K144" s="37" t="str"/>
      <x:c r="L144" s="31" t="str"/>
      <x:c r="M144" s="31" t="str"/>
      <x:c r="N144" s="31" t="str"/>
      <x:c r="O144" s="40"/>
      <x:c r="P144" s="31" t="str">
        <x:v>기획서 §6.4</x:v>
      </x:c>
      <x:c r="Q144" s="44" t="str"/>
    </x:row>
    <x:row r="145" ht="54" customHeight="1">
      <x:c r="A145" s="34" t="str">
        <x:v>QA-140</x:v>
      </x:c>
      <x:c r="B145" s="34" t="str">
        <x:v>클래스 관리</x:v>
      </x:c>
      <x:c r="C145" s="34" t="str">
        <x:v>크리에이터</x:v>
      </x:c>
      <x:c r="D145" s="34" t="str">
        <x:v>필수</x:v>
      </x:c>
      <x:c r="E145" s="34" t="str">
        <x:v>수정·삭제 제한</x:v>
      </x:c>
      <x:c r="F145" s="31" t="str">
        <x:v>결제 이력 클래스 제한 필드</x:v>
      </x:c>
      <x:c r="G145" s="31" t="str">
        <x:v>결제 이력 1건 이상</x:v>
      </x:c>
      <x:c r="H145" s="31" t="str">
        <x:v>연결 콘텐츠, 조건, 가격과 기간 수정 시도</x:v>
      </x:c>
      <x:c r="I145" s="31" t="str">
        <x:v>제한 필드는 수정할 수 없고 새 클래스 등록을 안내한다.</x:v>
      </x:c>
      <x:c r="J145" s="37" t="str">
        <x:v>미실행</x:v>
      </x:c>
      <x:c r="K145" s="37" t="str"/>
      <x:c r="L145" s="31" t="str"/>
      <x:c r="M145" s="31" t="str"/>
      <x:c r="N145" s="31" t="str"/>
      <x:c r="O145" s="40"/>
      <x:c r="P145" s="31" t="str">
        <x:v>기획서 §6.4</x:v>
      </x:c>
      <x:c r="Q145" s="44" t="str"/>
    </x:row>
    <x:row r="146" ht="54" customHeight="1">
      <x:c r="A146" s="34" t="str">
        <x:v>QA-141</x:v>
      </x:c>
      <x:c r="B146" s="34" t="str">
        <x:v>클래스 관리</x:v>
      </x:c>
      <x:c r="C146" s="34" t="str">
        <x:v>크리에이터</x:v>
      </x:c>
      <x:c r="D146" s="34" t="str">
        <x:v>중요</x:v>
      </x:c>
      <x:c r="E146" s="34" t="str">
        <x:v>운영 정보</x:v>
      </x:c>
      <x:c r="F146" s="31" t="str">
        <x:v>결제 이력 클래스 운영 정보 수정</x:v>
      </x:c>
      <x:c r="G146" s="31" t="str">
        <x:v>결제 이력 1건 이상</x:v>
      </x:c>
      <x:c r="H146" s="31" t="str">
        <x:v>클래스명·소개·공개·안내·일정·FAQ 수정</x:v>
      </x:c>
      <x:c r="I146" s="31" t="str">
        <x:v>운영상 허용된 항목은 저장되고 기존 강의를 들을 수 있는 상태은 유지된다.</x:v>
      </x:c>
      <x:c r="J146" s="37" t="str">
        <x:v>미실행</x:v>
      </x:c>
      <x:c r="K146" s="37" t="str"/>
      <x:c r="L146" s="31" t="str"/>
      <x:c r="M146" s="31" t="str"/>
      <x:c r="N146" s="31" t="str"/>
      <x:c r="O146" s="40"/>
      <x:c r="P146" s="31" t="str">
        <x:v>기획서 §6.4</x:v>
      </x:c>
      <x:c r="Q146" s="44" t="str"/>
    </x:row>
    <x:row r="147" ht="54" customHeight="1">
      <x:c r="A147" s="34" t="str">
        <x:v>QA-142</x:v>
      </x:c>
      <x:c r="B147" s="34" t="str">
        <x:v>클래스 관리</x:v>
      </x:c>
      <x:c r="C147" s="34" t="str">
        <x:v>크리에이터</x:v>
      </x:c>
      <x:c r="D147" s="34" t="str">
        <x:v>필수</x:v>
      </x:c>
      <x:c r="E147" s="34" t="str">
        <x:v>공개 여부</x:v>
      </x:c>
      <x:c r="F147" s="31" t="str">
        <x:v>비공개 저장</x:v>
      </x:c>
      <x:c r="G147" s="31" t="str">
        <x:v>신규 또는 기존 클래스</x:v>
      </x:c>
      <x:c r="H147" s="31" t="str">
        <x:v>비공개로 저장 후 공개 화면·직접 결제 확인</x:v>
      </x:c>
      <x:c r="I147" s="31" t="str">
        <x:v>판매 화면에서 제외되고 신규 결제가 차단된다.</x:v>
      </x:c>
      <x:c r="J147" s="37" t="str">
        <x:v>미실행</x:v>
      </x:c>
      <x:c r="K147" s="37" t="str"/>
      <x:c r="L147" s="31" t="str"/>
      <x:c r="M147" s="31" t="str"/>
      <x:c r="N147" s="31" t="str"/>
      <x:c r="O147" s="40"/>
      <x:c r="P147" s="31" t="str">
        <x:v>기획서 §6.4</x:v>
      </x:c>
      <x:c r="Q147" s="44" t="str"/>
    </x:row>
    <x:row r="148" ht="54" customHeight="1">
      <x:c r="A148" s="34" t="str">
        <x:v>QA-143</x:v>
      </x:c>
      <x:c r="B148" s="34" t="str">
        <x:v>수강생 관리</x:v>
      </x:c>
      <x:c r="C148" s="34" t="str">
        <x:v>크리에이터</x:v>
      </x:c>
      <x:c r="D148" s="34" t="str">
        <x:v>필수</x:v>
      </x:c>
      <x:c r="E148" s="34" t="str">
        <x:v>내용 확인</x:v>
      </x:c>
      <x:c r="F148" s="31" t="str">
        <x:v>상태 요약 집계</x:v>
      </x:c>
      <x:c r="G148" s="31" t="str">
        <x:v>대기·중·종료 수강생 존재</x:v>
      </x:c>
      <x:c r="H148" s="31" t="str">
        <x:v>수강생 관리 진입</x:v>
      </x:c>
      <x:c r="I148" s="31" t="str">
        <x:v>중복 제거된 전체 수강생이 하나의 현재 상태에만 집계된다.</x:v>
      </x:c>
      <x:c r="J148" s="37" t="str">
        <x:v>미실행</x:v>
      </x:c>
      <x:c r="K148" s="37" t="str"/>
      <x:c r="L148" s="31" t="str"/>
      <x:c r="M148" s="31" t="str"/>
      <x:c r="N148" s="31" t="str"/>
      <x:c r="O148" s="40"/>
      <x:c r="P148" s="31" t="str">
        <x:v>기획서 §6.5, §13.2</x:v>
      </x:c>
      <x:c r="Q148" s="44" t="str"/>
    </x:row>
    <x:row r="149" ht="54" customHeight="1">
      <x:c r="A149" s="34" t="str">
        <x:v>QA-144</x:v>
      </x:c>
      <x:c r="B149" s="34" t="str">
        <x:v>수강생 관리</x:v>
      </x:c>
      <x:c r="C149" s="34" t="str">
        <x:v>크리에이터</x:v>
      </x:c>
      <x:c r="D149" s="34" t="str">
        <x:v>중요</x:v>
      </x:c>
      <x:c r="E149" s="34" t="str">
        <x:v>조건 골라보기</x:v>
      </x:c>
      <x:c r="F149" s="31" t="str">
        <x:v>상태 탭</x:v>
      </x:c>
      <x:c r="G149" s="31" t="str">
        <x:v>여러 상태 데이터</x:v>
      </x:c>
      <x:c r="H149" s="31" t="str">
        <x:v>각 상태 탭 선택</x:v>
      </x:c>
      <x:c r="I149" s="31" t="str">
        <x:v>선택 상태 수강생만 목록에 표시되고 탭 상태가 명확하다.</x:v>
      </x:c>
      <x:c r="J149" s="37" t="str">
        <x:v>미실행</x:v>
      </x:c>
      <x:c r="K149" s="37" t="str"/>
      <x:c r="L149" s="31" t="str"/>
      <x:c r="M149" s="31" t="str"/>
      <x:c r="N149" s="31" t="str"/>
      <x:c r="O149" s="40"/>
      <x:c r="P149" s="31" t="str">
        <x:v>기획서 §6.5, §13.2</x:v>
      </x:c>
      <x:c r="Q149" s="44" t="str"/>
    </x:row>
    <x:row r="150" ht="54" customHeight="1">
      <x:c r="A150" s="34" t="str">
        <x:v>QA-145</x:v>
      </x:c>
      <x:c r="B150" s="34" t="str">
        <x:v>수강생 관리</x:v>
      </x:c>
      <x:c r="C150" s="34" t="str">
        <x:v>크리에이터</x:v>
      </x:c>
      <x:c r="D150" s="34" t="str">
        <x:v>중요</x:v>
      </x:c>
      <x:c r="E150" s="34" t="str">
        <x:v>검색</x:v>
      </x:c>
      <x:c r="F150" s="31" t="str">
        <x:v>통합 검색</x:v>
      </x:c>
      <x:c r="G150" s="31" t="str">
        <x:v>이름·이메일·전화·클래스·이력 데이터</x:v>
      </x:c>
      <x:c r="H150" s="31" t="str">
        <x:v>각 값의 일부로 검색</x:v>
      </x:c>
      <x:c r="I150" s="31" t="str">
        <x:v>정책에 포함된 필드가 검색되고 무관한 수강생은 제외된다.</x:v>
      </x:c>
      <x:c r="J150" s="37" t="str">
        <x:v>미실행</x:v>
      </x:c>
      <x:c r="K150" s="37" t="str"/>
      <x:c r="L150" s="31" t="str"/>
      <x:c r="M150" s="31" t="str"/>
      <x:c r="N150" s="31" t="str"/>
      <x:c r="O150" s="40"/>
      <x:c r="P150" s="31" t="str">
        <x:v>기획서 §6.5, §13.2</x:v>
      </x:c>
      <x:c r="Q150" s="44" t="str"/>
    </x:row>
    <x:row r="151" ht="54" customHeight="1">
      <x:c r="A151" s="34" t="str">
        <x:v>QA-146</x:v>
      </x:c>
      <x:c r="B151" s="34" t="str">
        <x:v>수강생 관리</x:v>
      </x:c>
      <x:c r="C151" s="34" t="str">
        <x:v>크리에이터</x:v>
      </x:c>
      <x:c r="D151" s="34" t="str">
        <x:v>중요</x:v>
      </x:c>
      <x:c r="E151" s="34" t="str">
        <x:v>조건 골라보기</x:v>
      </x:c>
      <x:c r="F151" s="31" t="str">
        <x:v>최근 결제 클래스 필터</x:v>
      </x:c>
      <x:c r="G151" s="31" t="str">
        <x:v>한 사용자의 결제 이력 여러 건</x:v>
      </x:c>
      <x:c r="H151" s="31" t="str">
        <x:v>가장 최근/과거 클래스 필터 적용</x:v>
      </x:c>
      <x:c r="I151" s="31" t="str">
        <x:v>가장 최근 결제 완료 클래스 기준으로만 일치한다.</x:v>
      </x:c>
      <x:c r="J151" s="37" t="str">
        <x:v>미실행</x:v>
      </x:c>
      <x:c r="K151" s="37" t="str"/>
      <x:c r="L151" s="31" t="str"/>
      <x:c r="M151" s="31" t="str"/>
      <x:c r="N151" s="31" t="str"/>
      <x:c r="O151" s="40"/>
      <x:c r="P151" s="31" t="str">
        <x:v>기획서 §6.5, §13.2</x:v>
      </x:c>
      <x:c r="Q151" s="44" t="str"/>
    </x:row>
    <x:row r="152" ht="54" customHeight="1">
      <x:c r="A152" s="34" t="str">
        <x:v>QA-147</x:v>
      </x:c>
      <x:c r="B152" s="34" t="str">
        <x:v>수강생 관리</x:v>
      </x:c>
      <x:c r="C152" s="34" t="str">
        <x:v>크리에이터</x:v>
      </x:c>
      <x:c r="D152" s="34" t="str">
        <x:v>중요</x:v>
      </x:c>
      <x:c r="E152" s="34" t="str">
        <x:v>조건 골라보기</x:v>
      </x:c>
      <x:c r="F152" s="31" t="str">
        <x:v>검색·클래스·상태 AND</x:v>
      </x:c>
      <x:c r="G152" s="31" t="str">
        <x:v>복합 조건 데이터</x:v>
      </x:c>
      <x:c r="H152" s="31" t="str">
        <x:v>세 조건을 동시에 적용</x:v>
      </x:c>
      <x:c r="I152" s="31" t="str">
        <x:v>모든 조건을 만족하는 수강생만 표시된다.</x:v>
      </x:c>
      <x:c r="J152" s="37" t="str">
        <x:v>미실행</x:v>
      </x:c>
      <x:c r="K152" s="37" t="str"/>
      <x:c r="L152" s="31" t="str"/>
      <x:c r="M152" s="31" t="str"/>
      <x:c r="N152" s="31" t="str"/>
      <x:c r="O152" s="40"/>
      <x:c r="P152" s="31" t="str">
        <x:v>기획서 §6.5, §13.2</x:v>
      </x:c>
      <x:c r="Q152" s="44" t="str"/>
    </x:row>
    <x:row r="153" ht="54" customHeight="1">
      <x:c r="A153" s="34" t="str">
        <x:v>QA-148</x:v>
      </x:c>
      <x:c r="B153" s="34" t="str">
        <x:v>수강생 관리</x:v>
      </x:c>
      <x:c r="C153" s="34" t="str">
        <x:v>크리에이터</x:v>
      </x:c>
      <x:c r="D153" s="34" t="str">
        <x:v>중요</x:v>
      </x:c>
      <x:c r="E153" s="34" t="str">
        <x:v>검색 결과 없음</x:v>
      </x:c>
      <x:c r="F153" s="31" t="str">
        <x:v>검색 결과 없음</x:v>
      </x:c>
      <x:c r="G153" s="31" t="str">
        <x:v>수강생 데이터 존재</x:v>
      </x:c>
      <x:c r="H153" s="31" t="str">
        <x:v>일치하지 않는 조건 입력</x:v>
      </x:c>
      <x:c r="I153" s="31" t="str">
        <x:v>조건은 유지하고 검색·필터 변경 또는 초기화를 안내한다.</x:v>
      </x:c>
      <x:c r="J153" s="37" t="str">
        <x:v>미실행</x:v>
      </x:c>
      <x:c r="K153" s="37" t="str"/>
      <x:c r="L153" s="31" t="str"/>
      <x:c r="M153" s="31" t="str"/>
      <x:c r="N153" s="31" t="str"/>
      <x:c r="O153" s="40"/>
      <x:c r="P153" s="31" t="str">
        <x:v>기획서 §6.5, §13.2</x:v>
      </x:c>
      <x:c r="Q153" s="44" t="str"/>
    </x:row>
    <x:row r="154" ht="54" customHeight="1">
      <x:c r="A154" s="34" t="str">
        <x:v>QA-149</x:v>
      </x:c>
      <x:c r="B154" s="34" t="str">
        <x:v>수강생 관리</x:v>
      </x:c>
      <x:c r="C154" s="34" t="str">
        <x:v>크리에이터</x:v>
      </x:c>
      <x:c r="D154" s="34" t="str">
        <x:v>중요</x:v>
      </x:c>
      <x:c r="E154" s="34" t="str">
        <x:v>순서</x:v>
      </x:c>
      <x:c r="F154" s="31" t="str">
        <x:v>최근 결제순</x:v>
      </x:c>
      <x:c r="G154" s="31" t="str">
        <x:v>결제 완료 시각이 다른 수강생</x:v>
      </x:c>
      <x:c r="H154" s="31" t="str">
        <x:v>목록 순서 확인</x:v>
      </x:c>
      <x:c r="I154" s="31" t="str">
        <x:v>최근 결제한 사람부터이다.</x:v>
      </x:c>
      <x:c r="J154" s="37" t="str">
        <x:v>미실행</x:v>
      </x:c>
      <x:c r="K154" s="37" t="str"/>
      <x:c r="L154" s="31" t="str"/>
      <x:c r="M154" s="31" t="str"/>
      <x:c r="N154" s="31" t="str"/>
      <x:c r="O154" s="40"/>
      <x:c r="P154" s="31" t="str">
        <x:v>기획서 §6.5, §13.2</x:v>
      </x:c>
      <x:c r="Q154" s="44" t="str"/>
    </x:row>
    <x:row r="155" ht="54" customHeight="1">
      <x:c r="A155" s="34" t="str">
        <x:v>QA-150</x:v>
      </x:c>
      <x:c r="B155" s="34" t="str">
        <x:v>수강생 관리</x:v>
      </x:c>
      <x:c r="C155" s="34" t="str">
        <x:v>크리에이터</x:v>
      </x:c>
      <x:c r="D155" s="34" t="str">
        <x:v>중요</x:v>
      </x:c>
      <x:c r="E155" s="34" t="str">
        <x:v>목록 넘기기</x:v>
      </x:c>
      <x:c r="F155" s="31" t="str">
        <x:v>10명 단위 페이지</x:v>
      </x:c>
      <x:c r="G155" s="31" t="str">
        <x:v>수강생 21명 이상</x:v>
      </x:c>
      <x:c r="H155" s="31" t="str">
        <x:v>첫·중간·마지막 페이지 이동</x:v>
      </x:c>
      <x:c r="I155" s="31" t="str">
        <x:v>표시 범위와 전체 수가 맞고 첫 이전/마지막 다음이 비활성화된다.</x:v>
      </x:c>
      <x:c r="J155" s="37" t="str">
        <x:v>미실행</x:v>
      </x:c>
      <x:c r="K155" s="37" t="str"/>
      <x:c r="L155" s="31" t="str"/>
      <x:c r="M155" s="31" t="str"/>
      <x:c r="N155" s="31" t="str"/>
      <x:c r="O155" s="40"/>
      <x:c r="P155" s="31" t="str">
        <x:v>기획서 §6.5, §13.2</x:v>
      </x:c>
      <x:c r="Q155" s="44" t="str"/>
    </x:row>
    <x:row r="156" ht="54" customHeight="1">
      <x:c r="A156" s="34" t="str">
        <x:v>QA-151</x:v>
      </x:c>
      <x:c r="B156" s="34" t="str">
        <x:v>수강생 관리</x:v>
      </x:c>
      <x:c r="C156" s="34" t="str">
        <x:v>크리에이터</x:v>
      </x:c>
      <x:c r="D156" s="34" t="str">
        <x:v>중요</x:v>
      </x:c>
      <x:c r="E156" s="34" t="str">
        <x:v>기본 동작</x:v>
      </x:c>
      <x:c r="F156" s="31" t="str">
        <x:v>수강생 상세</x:v>
      </x:c>
      <x:c r="G156" s="31" t="str">
        <x:v>수강생 행 존재</x:v>
      </x:c>
      <x:c r="H156" s="31" t="str">
        <x:v>행 선택</x:v>
      </x:c>
      <x:c r="I156" s="31" t="str">
        <x:v>해당 크리에이터 채널의 전체 결제 내역만 팝업에 표시된다.</x:v>
      </x:c>
      <x:c r="J156" s="37" t="str">
        <x:v>미실행</x:v>
      </x:c>
      <x:c r="K156" s="37" t="str"/>
      <x:c r="L156" s="31" t="str"/>
      <x:c r="M156" s="31" t="str"/>
      <x:c r="N156" s="31" t="str"/>
      <x:c r="O156" s="40"/>
      <x:c r="P156" s="31" t="str">
        <x:v>기획서 §6.5, §13.2</x:v>
      </x:c>
      <x:c r="Q156" s="44" t="str"/>
    </x:row>
    <x:row r="157" ht="54" customHeight="1">
      <x:c r="A157" s="34" t="str">
        <x:v>QA-152</x:v>
      </x:c>
      <x:c r="B157" s="34" t="str">
        <x:v>수강생 관리</x:v>
      </x:c>
      <x:c r="C157" s="34" t="str">
        <x:v>크리에이터</x:v>
      </x:c>
      <x:c r="D157" s="34" t="str">
        <x:v>필수</x:v>
      </x:c>
      <x:c r="E157" s="34" t="str">
        <x:v>이용 가능 여부</x:v>
      </x:c>
      <x:c r="F157" s="31" t="str">
        <x:v>타 크리에이터 이력 비노출</x:v>
      </x:c>
      <x:c r="G157" s="31" t="str">
        <x:v>한 사용자가 여러 크리에이터 클래스 구매</x:v>
      </x:c>
      <x:c r="H157" s="31" t="str">
        <x:v>크리에이터 A가 상세 확인</x:v>
      </x:c>
      <x:c r="I157" s="31" t="str">
        <x:v>A 채널 이력만 보이고 다른 크리에이터 정보는 노출되지 않는다.</x:v>
      </x:c>
      <x:c r="J157" s="37" t="str">
        <x:v>미실행</x:v>
      </x:c>
      <x:c r="K157" s="37" t="str"/>
      <x:c r="L157" s="31" t="str"/>
      <x:c r="M157" s="31" t="str"/>
      <x:c r="N157" s="31" t="str"/>
      <x:c r="O157" s="40"/>
      <x:c r="P157" s="31" t="str">
        <x:v>기획서 §6.5, §13.2</x:v>
      </x:c>
      <x:c r="Q157" s="44" t="str"/>
    </x:row>
    <x:row r="158" ht="54" customHeight="1">
      <x:c r="A158" s="34" t="str">
        <x:v>QA-153</x:v>
      </x:c>
      <x:c r="B158" s="34" t="str">
        <x:v>수강생 관리</x:v>
      </x:c>
      <x:c r="C158" s="34" t="str">
        <x:v>크리에이터</x:v>
      </x:c>
      <x:c r="D158" s="34" t="str">
        <x:v>중요</x:v>
      </x:c>
      <x:c r="E158" s="34" t="str">
        <x:v>화면 표시</x:v>
      </x:c>
      <x:c r="F158" s="31" t="str">
        <x:v>결제 상태와 수강 상태 구분</x:v>
      </x:c>
      <x:c r="G158" s="31" t="str">
        <x:v>취소 주문과 수강 중 주문 존재</x:v>
      </x:c>
      <x:c r="H158" s="31" t="str">
        <x:v>목록과 상세 상태 확인</x:v>
      </x:c>
      <x:c r="I158" s="31" t="str">
        <x:v>목록은 수강 상태, 결제 상세는 결제 완료·취소 상태를 사용한다.</x:v>
      </x:c>
      <x:c r="J158" s="37" t="str">
        <x:v>미실행</x:v>
      </x:c>
      <x:c r="K158" s="37" t="str"/>
      <x:c r="L158" s="31" t="str"/>
      <x:c r="M158" s="31" t="str"/>
      <x:c r="N158" s="31" t="str"/>
      <x:c r="O158" s="40"/>
      <x:c r="P158" s="31" t="str">
        <x:v>기획서 §6.5, §13.2</x:v>
      </x:c>
      <x:c r="Q158" s="44" t="str"/>
    </x:row>
    <x:row r="159" ht="54" customHeight="1">
      <x:c r="A159" s="34" t="str">
        <x:v>QA-154</x:v>
      </x:c>
      <x:c r="B159" s="34" t="str">
        <x:v>매출·설정</x:v>
      </x:c>
      <x:c r="C159" s="34" t="str">
        <x:v>크리에이터·정산 담당</x:v>
      </x:c>
      <x:c r="D159" s="34" t="str">
        <x:v>필수</x:v>
      </x:c>
      <x:c r="E159" s="34" t="str">
        <x:v>내용 확인</x:v>
      </x:c>
      <x:c r="F159" s="31" t="str">
        <x:v>월 조회 범위</x:v>
      </x:c>
      <x:c r="G159" s="31" t="str">
        <x:v>월 경계 결제 데이터</x:v>
      </x:c>
      <x:c r="H159" s="31" t="str">
        <x:v>조회 월 변경</x:v>
      </x:c>
      <x:c r="I159" s="31" t="str">
        <x:v>한국 시간 월 시작~말일 결제 승인 건만 포함한다.</x:v>
      </x:c>
      <x:c r="J159" s="37" t="str">
        <x:v>미실행</x:v>
      </x:c>
      <x:c r="K159" s="37" t="str"/>
      <x:c r="L159" s="31" t="str"/>
      <x:c r="M159" s="31" t="str"/>
      <x:c r="N159" s="31" t="str"/>
      <x:c r="O159" s="40"/>
      <x:c r="P159" s="31" t="str">
        <x:v>기획서 §6.6~6.7, §13.3</x:v>
      </x:c>
      <x:c r="Q159" s="44" t="str"/>
    </x:row>
    <x:row r="160" ht="54" customHeight="1">
      <x:c r="A160" s="34" t="str">
        <x:v>QA-155</x:v>
      </x:c>
      <x:c r="B160" s="34" t="str">
        <x:v>매출·설정</x:v>
      </x:c>
      <x:c r="C160" s="34" t="str">
        <x:v>크리에이터·정산 담당</x:v>
      </x:c>
      <x:c r="D160" s="34" t="str">
        <x:v>필수</x:v>
      </x:c>
      <x:c r="E160" s="34" t="str">
        <x:v>금액 계산</x:v>
      </x:c>
      <x:c r="F160" s="31" t="str">
        <x:v>순 결제액</x:v>
      </x:c>
      <x:c r="G160" s="31" t="str">
        <x:v>결제와 환불·취소 데이터</x:v>
      </x:c>
      <x:c r="H160" s="31" t="str">
        <x:v>요약 금액 확인</x:v>
      </x:c>
      <x:c r="I160" s="31" t="str">
        <x:v>순 결제액이 결제-환불·취소이며 0원 미만으로 표시되지 않는다.</x:v>
      </x:c>
      <x:c r="J160" s="37" t="str">
        <x:v>미실행</x:v>
      </x:c>
      <x:c r="K160" s="37" t="str"/>
      <x:c r="L160" s="31" t="str"/>
      <x:c r="M160" s="31" t="str"/>
      <x:c r="N160" s="31" t="str"/>
      <x:c r="O160" s="40"/>
      <x:c r="P160" s="31" t="str">
        <x:v>기획서 §6.6~6.7, §13.3</x:v>
      </x:c>
      <x:c r="Q160" s="44" t="str"/>
    </x:row>
    <x:row r="161" ht="54" customHeight="1">
      <x:c r="A161" s="34" t="str">
        <x:v>QA-156</x:v>
      </x:c>
      <x:c r="B161" s="34" t="str">
        <x:v>매출·설정</x:v>
      </x:c>
      <x:c r="C161" s="34" t="str">
        <x:v>크리에이터·정산 담당</x:v>
      </x:c>
      <x:c r="D161" s="34" t="str">
        <x:v>필수</x:v>
      </x:c>
      <x:c r="E161" s="34" t="str">
        <x:v>금액 계산</x:v>
      </x:c>
      <x:c r="F161" s="31" t="str">
        <x:v>결제 실패·승인 전 제외</x:v>
      </x:c>
      <x:c r="G161" s="31" t="str">
        <x:v>상태별 주문 데이터</x:v>
      </x:c>
      <x:c r="H161" s="31" t="str">
        <x:v>결제 금액·건수 확인</x:v>
      </x:c>
      <x:c r="I161" s="31" t="str">
        <x:v>실패와 승인 전 주문은 제외된다.</x:v>
      </x:c>
      <x:c r="J161" s="37" t="str">
        <x:v>미실행</x:v>
      </x:c>
      <x:c r="K161" s="37" t="str"/>
      <x:c r="L161" s="31" t="str"/>
      <x:c r="M161" s="31" t="str"/>
      <x:c r="N161" s="31" t="str"/>
      <x:c r="O161" s="40"/>
      <x:c r="P161" s="31" t="str">
        <x:v>기획서 §6.6~6.7, §13.3</x:v>
      </x:c>
      <x:c r="Q161" s="44" t="str"/>
    </x:row>
    <x:row r="162" ht="54" customHeight="1">
      <x:c r="A162" s="34" t="str">
        <x:v>QA-157</x:v>
      </x:c>
      <x:c r="B162" s="34" t="str">
        <x:v>매출·설정</x:v>
      </x:c>
      <x:c r="C162" s="34" t="str">
        <x:v>크리에이터·정산 담당</x:v>
      </x:c>
      <x:c r="D162" s="34" t="str">
        <x:v>필수</x:v>
      </x:c>
      <x:c r="E162" s="34" t="str">
        <x:v>금액 계산</x:v>
      </x:c>
      <x:c r="F162" s="31" t="str">
        <x:v>환불·취소 별도 집계</x:v>
      </x:c>
      <x:c r="G162" s="31" t="str">
        <x:v>결제 후 취소·환불 주문</x:v>
      </x:c>
      <x:c r="H162" s="31" t="str">
        <x:v>최초 결제월 조회</x:v>
      </x:c>
      <x:c r="I162" s="31" t="str">
        <x:v>결제에는 최초 금액이 포함되고 환불·취소에 실제 완료 금액이 별도 집계된다.</x:v>
      </x:c>
      <x:c r="J162" s="37" t="str">
        <x:v>미실행</x:v>
      </x:c>
      <x:c r="K162" s="37" t="str"/>
      <x:c r="L162" s="31" t="str"/>
      <x:c r="M162" s="31" t="str"/>
      <x:c r="N162" s="31" t="str"/>
      <x:c r="O162" s="40"/>
      <x:c r="P162" s="31" t="str">
        <x:v>기획서 §6.6~6.7, §13.3</x:v>
      </x:c>
      <x:c r="Q162" s="44" t="str"/>
    </x:row>
    <x:row r="163" ht="54" customHeight="1">
      <x:c r="A163" s="34" t="str">
        <x:v>QA-158</x:v>
      </x:c>
      <x:c r="B163" s="34" t="str">
        <x:v>매출·설정</x:v>
      </x:c>
      <x:c r="C163" s="34" t="str">
        <x:v>크리에이터·정산 담당</x:v>
      </x:c>
      <x:c r="D163" s="34" t="str">
        <x:v>필수</x:v>
      </x:c>
      <x:c r="E163" s="34" t="str">
        <x:v>금액 계산</x:v>
      </x:c>
      <x:c r="F163" s="31" t="str">
        <x:v>부분 환불</x:v>
      </x:c>
      <x:c r="G163" s="31" t="str">
        <x:v>부분 환불 주문</x:v>
      </x:c>
      <x:c r="H163" s="31" t="str">
        <x:v>클래스별/전체 금액 확인</x:v>
      </x:c>
      <x:c r="I163" s="31" t="str">
        <x:v>실제 부분 환불 금액만 차감한다.</x:v>
      </x:c>
      <x:c r="J163" s="37" t="str">
        <x:v>미실행</x:v>
      </x:c>
      <x:c r="K163" s="37" t="str"/>
      <x:c r="L163" s="31" t="str"/>
      <x:c r="M163" s="31" t="str"/>
      <x:c r="N163" s="31" t="str"/>
      <x:c r="O163" s="40"/>
      <x:c r="P163" s="31" t="str">
        <x:v>기획서 §6.6~6.7, §13.3</x:v>
      </x:c>
      <x:c r="Q163" s="44" t="str"/>
    </x:row>
    <x:row r="164" ht="54" customHeight="1">
      <x:c r="A164" s="34" t="str">
        <x:v>QA-159</x:v>
      </x:c>
      <x:c r="B164" s="34" t="str">
        <x:v>매출·설정</x:v>
      </x:c>
      <x:c r="C164" s="34" t="str">
        <x:v>크리에이터·정산 담당</x:v>
      </x:c>
      <x:c r="D164" s="34" t="str">
        <x:v>중요</x:v>
      </x:c>
      <x:c r="E164" s="34" t="str">
        <x:v>내용 확인</x:v>
      </x:c>
      <x:c r="F164" s="31" t="str">
        <x:v>클래스별 매출</x:v>
      </x:c>
      <x:c r="G164" s="31" t="str">
        <x:v>선택 월 결제와 무결제 클래스</x:v>
      </x:c>
      <x:c r="H164" s="31" t="str">
        <x:v>표 확인</x:v>
      </x:c>
      <x:c r="I164" s="31" t="str">
        <x:v>등록 클래스를 ID별 집계하며 무결제 클래스는 0으로 표시한다.</x:v>
      </x:c>
      <x:c r="J164" s="37" t="str">
        <x:v>미실행</x:v>
      </x:c>
      <x:c r="K164" s="37" t="str"/>
      <x:c r="L164" s="31" t="str"/>
      <x:c r="M164" s="31" t="str"/>
      <x:c r="N164" s="31" t="str"/>
      <x:c r="O164" s="40"/>
      <x:c r="P164" s="31" t="str">
        <x:v>기획서 §6.6~6.7, §13.3</x:v>
      </x:c>
      <x:c r="Q164" s="44" t="str"/>
    </x:row>
    <x:row r="165" ht="54" customHeight="1">
      <x:c r="A165" s="34" t="str">
        <x:v>QA-160</x:v>
      </x:c>
      <x:c r="B165" s="34" t="str">
        <x:v>매출·설정</x:v>
      </x:c>
      <x:c r="C165" s="34" t="str">
        <x:v>크리에이터·정산 담당</x:v>
      </x:c>
      <x:c r="D165" s="34" t="str">
        <x:v>중요</x:v>
      </x:c>
      <x:c r="E165" s="34" t="str">
        <x:v>내용 없음</x:v>
      </x:c>
      <x:c r="F165" s="31" t="str">
        <x:v>선택 월 결제 없음</x:v>
      </x:c>
      <x:c r="G165" s="31" t="str">
        <x:v>결제 없는 월</x:v>
      </x:c>
      <x:c r="H165" s="31" t="str">
        <x:v>월 선택</x:v>
      </x:c>
      <x:c r="I165" s="31" t="str">
        <x:v>클래스 행 대신 결제 내역이 없다는 빈 화면을 표시한다.</x:v>
      </x:c>
      <x:c r="J165" s="37" t="str">
        <x:v>미실행</x:v>
      </x:c>
      <x:c r="K165" s="37" t="str"/>
      <x:c r="L165" s="31" t="str"/>
      <x:c r="M165" s="31" t="str"/>
      <x:c r="N165" s="31" t="str"/>
      <x:c r="O165" s="40"/>
      <x:c r="P165" s="31" t="str">
        <x:v>기획서 §6.6~6.7, §13.3</x:v>
      </x:c>
      <x:c r="Q165" s="44" t="str"/>
    </x:row>
    <x:row r="166" ht="54" customHeight="1">
      <x:c r="A166" s="34" t="str">
        <x:v>QA-161</x:v>
      </x:c>
      <x:c r="B166" s="34" t="str">
        <x:v>매출·설정</x:v>
      </x:c>
      <x:c r="C166" s="34" t="str">
        <x:v>크리에이터·정산 담당</x:v>
      </x:c>
      <x:c r="D166" s="34" t="str">
        <x:v>중요</x:v>
      </x:c>
      <x:c r="E166" s="34" t="str">
        <x:v>화면 이동</x:v>
      </x:c>
      <x:c r="F166" s="31" t="str">
        <x:v>클래스 결제 수강생 상세</x:v>
      </x:c>
      <x:c r="G166" s="31" t="str">
        <x:v>클래스별 매출 행 존재</x:v>
      </x:c>
      <x:c r="H166" s="31" t="str">
        <x:v>행 선택</x:v>
      </x:c>
      <x:c r="I166" s="31" t="str">
        <x:v>같은 창에서 선택 월·클래스 상세로 이동하고 해당 월 결제자만 표시한다.</x:v>
      </x:c>
      <x:c r="J166" s="37" t="str">
        <x:v>미실행</x:v>
      </x:c>
      <x:c r="K166" s="37" t="str"/>
      <x:c r="L166" s="31" t="str"/>
      <x:c r="M166" s="31" t="str"/>
      <x:c r="N166" s="31" t="str"/>
      <x:c r="O166" s="40"/>
      <x:c r="P166" s="31" t="str">
        <x:v>기획서 §6.6~6.7, §13.3</x:v>
      </x:c>
      <x:c r="Q166" s="44" t="str"/>
    </x:row>
    <x:row r="167" ht="54" customHeight="1">
      <x:c r="A167" s="34" t="str">
        <x:v>QA-162</x:v>
      </x:c>
      <x:c r="B167" s="34" t="str">
        <x:v>매출·설정</x:v>
      </x:c>
      <x:c r="C167" s="34" t="str">
        <x:v>크리에이터·정산 담당</x:v>
      </x:c>
      <x:c r="D167" s="34" t="str">
        <x:v>중요</x:v>
      </x:c>
      <x:c r="E167" s="34" t="str">
        <x:v>선택 유지</x:v>
      </x:c>
      <x:c r="F167" s="31" t="str">
        <x:v>상세에서 조회 월 유지</x:v>
      </x:c>
      <x:c r="G167" s="31" t="str">
        <x:v>과거 월 선택 후 상세 진입</x:v>
      </x:c>
      <x:c r="H167" s="31" t="str">
        <x:v>매출 목록으로 돌아가기</x:v>
      </x:c>
      <x:c r="I167" s="31" t="str">
        <x:v>선택했던 월이 유지된다.</x:v>
      </x:c>
      <x:c r="J167" s="37" t="str">
        <x:v>미실행</x:v>
      </x:c>
      <x:c r="K167" s="37" t="str"/>
      <x:c r="L167" s="31" t="str"/>
      <x:c r="M167" s="31" t="str"/>
      <x:c r="N167" s="31" t="str"/>
      <x:c r="O167" s="40"/>
      <x:c r="P167" s="31" t="str">
        <x:v>기획서 §6.6~6.7, §13.3</x:v>
      </x:c>
      <x:c r="Q167" s="44" t="str"/>
    </x:row>
    <x:row r="168" ht="54" customHeight="1">
      <x:c r="A168" s="34" t="str">
        <x:v>QA-163</x:v>
      </x:c>
      <x:c r="B168" s="34" t="str">
        <x:v>매출·설정</x:v>
      </x:c>
      <x:c r="C168" s="34" t="str">
        <x:v>크리에이터·정산 담당</x:v>
      </x:c>
      <x:c r="D168" s="34" t="str">
        <x:v>중요</x:v>
      </x:c>
      <x:c r="E168" s="34" t="str">
        <x:v>화면 이동</x:v>
      </x:c>
      <x:c r="F168" s="31" t="str">
        <x:v>정산 계좌 관리</x:v>
      </x:c>
      <x:c r="G168" s="31" t="str">
        <x:v>매출·정산 진입</x:v>
      </x:c>
      <x:c r="H168" s="31" t="str">
        <x:v>정산 계좌 관리 선택</x:v>
      </x:c>
      <x:c r="I168" s="31" t="str">
        <x:v>채널 설정의 정산 정보 화면으로 이동한다.</x:v>
      </x:c>
      <x:c r="J168" s="37" t="str">
        <x:v>미실행</x:v>
      </x:c>
      <x:c r="K168" s="37" t="str"/>
      <x:c r="L168" s="31" t="str"/>
      <x:c r="M168" s="31" t="str"/>
      <x:c r="N168" s="31" t="str"/>
      <x:c r="O168" s="40"/>
      <x:c r="P168" s="31" t="str">
        <x:v>기획서 §6.6~6.7, §13.3</x:v>
      </x:c>
      <x:c r="Q168" s="44" t="str"/>
    </x:row>
    <x:row r="169" ht="54" customHeight="1">
      <x:c r="A169" s="34" t="str">
        <x:v>QA-164</x:v>
      </x:c>
      <x:c r="B169" s="34" t="str">
        <x:v>매출·설정</x:v>
      </x:c>
      <x:c r="C169" s="34" t="str">
        <x:v>크리에이터·정산 담당</x:v>
      </x:c>
      <x:c r="D169" s="34" t="str">
        <x:v>필수</x:v>
      </x:c>
      <x:c r="E169" s="34" t="str">
        <x:v>입력 확인</x:v>
      </x:c>
      <x:c r="F169" s="31" t="str">
        <x:v>정산 정보 필수값</x:v>
      </x:c>
      <x:c r="G169" s="31" t="str">
        <x:v>정산 설정</x:v>
      </x:c>
      <x:c r="H169" s="31" t="str">
        <x:v>예금주·은행·계좌·이메일을 각각 비우고 저장</x:v>
      </x:c>
      <x:c r="I169" s="31" t="str">
        <x:v>누락 시 저장하지 않고 해당 항목을 안내한다.</x:v>
      </x:c>
      <x:c r="J169" s="37" t="str">
        <x:v>미실행</x:v>
      </x:c>
      <x:c r="K169" s="37" t="str"/>
      <x:c r="L169" s="31" t="str"/>
      <x:c r="M169" s="31" t="str"/>
      <x:c r="N169" s="31" t="str"/>
      <x:c r="O169" s="40"/>
      <x:c r="P169" s="31" t="str">
        <x:v>기획서 §6.6~6.7, §13.3</x:v>
      </x:c>
      <x:c r="Q169" s="44" t="str"/>
    </x:row>
    <x:row r="170" ht="54" customHeight="1">
      <x:c r="A170" s="34" t="str">
        <x:v>QA-165</x:v>
      </x:c>
      <x:c r="B170" s="34" t="str">
        <x:v>매출·설정</x:v>
      </x:c>
      <x:c r="C170" s="34" t="str">
        <x:v>크리에이터·정산 담당</x:v>
      </x:c>
      <x:c r="D170" s="34" t="str">
        <x:v>중요</x:v>
      </x:c>
      <x:c r="E170" s="34" t="str">
        <x:v>안내 내용</x:v>
      </x:c>
      <x:c r="F170" s="31" t="str">
        <x:v>정산일 7일 전 변경 제한</x:v>
      </x:c>
      <x:c r="G170" s="31" t="str">
        <x:v>정산일 기준 경계 테스트</x:v>
      </x:c>
      <x:c r="H170" s="31" t="str">
        <x:v>허용일과 제한일에 수정 시도</x:v>
      </x:c>
      <x:c r="I170" s="31" t="str">
        <x:v>7일 전까지만 화면에서 변경되고 이후에는 운영사 문의를 안내한다.</x:v>
      </x:c>
      <x:c r="J170" s="37" t="str">
        <x:v>미실행</x:v>
      </x:c>
      <x:c r="K170" s="37" t="str"/>
      <x:c r="L170" s="31" t="str"/>
      <x:c r="M170" s="31" t="str"/>
      <x:c r="N170" s="31" t="str"/>
      <x:c r="O170" s="40"/>
      <x:c r="P170" s="31" t="str">
        <x:v>기획서 §6.6~6.7, §13.3</x:v>
      </x:c>
      <x:c r="Q170" s="44" t="str"/>
    </x:row>
    <x:row r="171" ht="54" customHeight="1">
      <x:c r="A171" s="34" t="str">
        <x:v>QA-166</x:v>
      </x:c>
      <x:c r="B171" s="34" t="str">
        <x:v>매출·설정</x:v>
      </x:c>
      <x:c r="C171" s="34" t="str">
        <x:v>크리에이터·정산 담당</x:v>
      </x:c>
      <x:c r="D171" s="34" t="str">
        <x:v>필수</x:v>
      </x:c>
      <x:c r="E171" s="34" t="str">
        <x:v>입력 확인</x:v>
      </x:c>
      <x:c r="F171" s="31" t="str">
        <x:v>공개 채널 전체 필수</x:v>
      </x:c>
      <x:c r="G171" s="31" t="str">
        <x:v>채널 설정</x:v>
      </x:c>
      <x:c r="H171" s="31" t="str">
        <x:v>각 필수값을 비우고 저장</x:v>
      </x:c>
      <x:c r="I171" s="31" t="str">
        <x:v>이미지, 배경색, 이름, 핸들, 카테고리와 소개 누락을 차단한다.</x:v>
      </x:c>
      <x:c r="J171" s="37" t="str">
        <x:v>미실행</x:v>
      </x:c>
      <x:c r="K171" s="37" t="str"/>
      <x:c r="L171" s="31" t="str"/>
      <x:c r="M171" s="31" t="str"/>
      <x:c r="N171" s="31" t="str"/>
      <x:c r="O171" s="40"/>
      <x:c r="P171" s="31" t="str">
        <x:v>기획서 §6.6~6.7, §13.3</x:v>
      </x:c>
      <x:c r="Q171" s="44" t="str"/>
    </x:row>
    <x:row r="172" ht="54" customHeight="1">
      <x:c r="A172" s="34" t="str">
        <x:v>QA-167</x:v>
      </x:c>
      <x:c r="B172" s="34" t="str">
        <x:v>매출·설정</x:v>
      </x:c>
      <x:c r="C172" s="34" t="str">
        <x:v>크리에이터·정산 담당</x:v>
      </x:c>
      <x:c r="D172" s="34" t="str">
        <x:v>필수</x:v>
      </x:c>
      <x:c r="E172" s="34" t="str">
        <x:v>중복 확인</x:v>
      </x:c>
      <x:c r="F172" s="31" t="str">
        <x:v>크리에이터 핸들 중복</x:v>
      </x:c>
      <x:c r="G172" s="31" t="str">
        <x:v>다른 채널이 사용 중인 핸들</x:v>
      </x:c>
      <x:c r="H172" s="31" t="str">
        <x:v>중복 핸들 저장</x:v>
      </x:c>
      <x:c r="I172" s="31" t="str">
        <x:v>중복 저장을 거부하고 기존 공개 주소에 영향을 주지 않는다.</x:v>
      </x:c>
      <x:c r="J172" s="37" t="str">
        <x:v>미실행</x:v>
      </x:c>
      <x:c r="K172" s="37" t="str"/>
      <x:c r="L172" s="31" t="str"/>
      <x:c r="M172" s="31" t="str"/>
      <x:c r="N172" s="31" t="str"/>
      <x:c r="O172" s="40"/>
      <x:c r="P172" s="31" t="str">
        <x:v>기획서 §6.6~6.7, §13.3</x:v>
      </x:c>
      <x:c r="Q172" s="44" t="str"/>
    </x:row>
    <x:row r="173" ht="54" customHeight="1">
      <x:c r="A173" s="34" t="str">
        <x:v>QA-168</x:v>
      </x:c>
      <x:c r="B173" s="34" t="str">
        <x:v>매출·설정</x:v>
      </x:c>
      <x:c r="C173" s="34" t="str">
        <x:v>크리에이터·정산 담당</x:v>
      </x:c>
      <x:c r="D173" s="34" t="str">
        <x:v>중요</x:v>
      </x:c>
      <x:c r="E173" s="34" t="str">
        <x:v>저장 후 반영</x:v>
      </x:c>
      <x:c r="F173" s="31" t="str">
        <x:v>프로필 배경색</x:v>
      </x:c>
      <x:c r="G173" s="31" t="str">
        <x:v>색상 옵션과 직접 선택</x:v>
      </x:c>
      <x:c r="H173" s="31" t="str">
        <x:v>색상 저장 후 미리보기·공개 페이지 확인</x:v>
      </x:c>
      <x:c r="I173" s="31" t="str">
        <x:v>선택 색상이 두 화면에 동일하게 반영된다.</x:v>
      </x:c>
      <x:c r="J173" s="37" t="str">
        <x:v>미실행</x:v>
      </x:c>
      <x:c r="K173" s="37" t="str"/>
      <x:c r="L173" s="31" t="str"/>
      <x:c r="M173" s="31" t="str"/>
      <x:c r="N173" s="31" t="str"/>
      <x:c r="O173" s="40"/>
      <x:c r="P173" s="31" t="str">
        <x:v>기획서 §6.6~6.7, §13.3</x:v>
      </x:c>
      <x:c r="Q173" s="44" t="str"/>
    </x:row>
    <x:row r="174" ht="54" customHeight="1">
      <x:c r="A174" s="34" t="str">
        <x:v>QA-169</x:v>
      </x:c>
      <x:c r="B174" s="34" t="str">
        <x:v>매출·설정</x:v>
      </x:c>
      <x:c r="C174" s="34" t="str">
        <x:v>크리에이터·정산 담당</x:v>
      </x:c>
      <x:c r="D174" s="34" t="str">
        <x:v>중요</x:v>
      </x:c>
      <x:c r="E174" s="34" t="str">
        <x:v>화면 이동</x:v>
      </x:c>
      <x:c r="F174" s="31" t="str">
        <x:v>채널 설정 내 페이지 보기</x:v>
      </x:c>
      <x:c r="G174" s="31" t="str">
        <x:v>채널 설정 진입</x:v>
      </x:c>
      <x:c r="H174" s="31" t="str">
        <x:v>내 페이지 보기 선택</x:v>
      </x:c>
      <x:c r="I174" s="31" t="str">
        <x:v>공개 크리에이터 페이지가 새 창으로 열린다.</x:v>
      </x:c>
      <x:c r="J174" s="37" t="str">
        <x:v>미실행</x:v>
      </x:c>
      <x:c r="K174" s="37" t="str"/>
      <x:c r="L174" s="31" t="str"/>
      <x:c r="M174" s="31" t="str"/>
      <x:c r="N174" s="31" t="str"/>
      <x:c r="O174" s="40"/>
      <x:c r="P174" s="31" t="str">
        <x:v>기획서 §6.6~6.7, §13.3</x:v>
      </x:c>
      <x:c r="Q174" s="44" t="str"/>
    </x:row>
    <x:row r="175" ht="54" customHeight="1">
      <x:c r="A175" s="34" t="str">
        <x:v>QA-170</x:v>
      </x:c>
      <x:c r="B175" s="34" t="str">
        <x:v>공통 품질</x:v>
      </x:c>
      <x:c r="C175" s="34" t="str">
        <x:v>모든 사용자·키보드 사용자·모바일 사용자</x:v>
      </x:c>
      <x:c r="D175" s="34" t="str">
        <x:v>필수</x:v>
      </x:c>
      <x:c r="E175" s="34" t="str">
        <x:v>안전 확인</x:v>
      </x:c>
      <x:c r="F175" s="31" t="str">
        <x:v>입력값 입력한 코드가 실행되는 문제 방어</x:v>
      </x:c>
      <x:c r="G175" s="31" t="str">
        <x:v>텍스트 입력 가능한 주요 폼</x:v>
      </x:c>
      <x:c r="H175" s="31" t="str">
        <x:v>스크립트·이벤트 속성 문자열 저장 후 목록/상세 표시</x:v>
      </x:c>
      <x:c r="I175" s="31" t="str">
        <x:v>코드가 실행되지 않고 안전한 텍스트 또는 정제된 서식으로 표시된다.</x:v>
      </x:c>
      <x:c r="J175" s="37" t="str">
        <x:v>미실행</x:v>
      </x:c>
      <x:c r="K175" s="37" t="str"/>
      <x:c r="L175" s="31" t="str"/>
      <x:c r="M175" s="31" t="str"/>
      <x:c r="N175" s="31" t="str"/>
      <x:c r="O175" s="40"/>
      <x:c r="P175" s="31" t="str">
        <x:v>기획서 §15</x:v>
      </x:c>
      <x:c r="Q175" s="44" t="str"/>
    </x:row>
    <x:row r="176" ht="54" customHeight="1">
      <x:c r="A176" s="34" t="str">
        <x:v>QA-171</x:v>
      </x:c>
      <x:c r="B176" s="34" t="str">
        <x:v>공통 품질</x:v>
      </x:c>
      <x:c r="C176" s="34" t="str">
        <x:v>모든 사용자·키보드 사용자·모바일 사용자</x:v>
      </x:c>
      <x:c r="D176" s="34" t="str">
        <x:v>필수</x:v>
      </x:c>
      <x:c r="E176" s="34" t="str">
        <x:v>안전 확인</x:v>
      </x:c>
      <x:c r="F176" s="31" t="str">
        <x:v>ID 변경 권한 다른 방법으로 들어가기</x:v>
      </x:c>
      <x:c r="G176" s="31" t="str">
        <x:v>서로 다른 사용자/크리에이터 정보</x:v>
      </x:c>
      <x:c r="H176" s="31" t="str">
        <x:v>주소·데이터 요청의 구분값를 다른 값으로 변경</x:v>
      </x:c>
      <x:c r="I176" s="31" t="str">
        <x:v>서비스가 소유권을 검사해 안전한 접근 제한을 반환한다.</x:v>
      </x:c>
      <x:c r="J176" s="37" t="str">
        <x:v>미실행</x:v>
      </x:c>
      <x:c r="K176" s="37" t="str"/>
      <x:c r="L176" s="31" t="str"/>
      <x:c r="M176" s="31" t="str"/>
      <x:c r="N176" s="31" t="str"/>
      <x:c r="O176" s="40"/>
      <x:c r="P176" s="31" t="str">
        <x:v>기획서 §15</x:v>
      </x:c>
      <x:c r="Q176" s="44" t="str"/>
    </x:row>
    <x:row r="177" ht="54" customHeight="1">
      <x:c r="A177" s="34" t="str">
        <x:v>QA-172</x:v>
      </x:c>
      <x:c r="B177" s="34" t="str">
        <x:v>공통 품질</x:v>
      </x:c>
      <x:c r="C177" s="34" t="str">
        <x:v>모든 사용자·키보드 사용자·모바일 사용자</x:v>
      </x:c>
      <x:c r="D177" s="34" t="str">
        <x:v>필수</x:v>
      </x:c>
      <x:c r="E177" s="34" t="str">
        <x:v>중복 확인</x:v>
      </x:c>
      <x:c r="F177" s="31" t="str">
        <x:v>저장·결제 버튼 연속 클릭</x:v>
      </x:c>
      <x:c r="G177" s="31" t="str">
        <x:v>처리가 늦을 때 환경</x:v>
      </x:c>
      <x:c r="H177" s="31" t="str">
        <x:v>버튼을 빠르게 여러 번 선택</x:v>
      </x:c>
      <x:c r="I177" s="31" t="str">
        <x:v>요청이 중복 처리되지 않고 진행 상태가 표시된다.</x:v>
      </x:c>
      <x:c r="J177" s="37" t="str">
        <x:v>미실행</x:v>
      </x:c>
      <x:c r="K177" s="37" t="str"/>
      <x:c r="L177" s="31" t="str"/>
      <x:c r="M177" s="31" t="str"/>
      <x:c r="N177" s="31" t="str"/>
      <x:c r="O177" s="40"/>
      <x:c r="P177" s="31" t="str">
        <x:v>기획서 §15</x:v>
      </x:c>
      <x:c r="Q177" s="44" t="str"/>
    </x:row>
    <x:row r="178" ht="54" customHeight="1">
      <x:c r="A178" s="34" t="str">
        <x:v>QA-173</x:v>
      </x:c>
      <x:c r="B178" s="34" t="str">
        <x:v>공통 품질</x:v>
      </x:c>
      <x:c r="C178" s="34" t="str">
        <x:v>모든 사용자·키보드 사용자·모바일 사용자</x:v>
      </x:c>
      <x:c r="D178" s="34" t="str">
        <x:v>중요</x:v>
      </x:c>
      <x:c r="E178" s="34" t="str">
        <x:v>오류 후 다시 시도</x:v>
      </x:c>
      <x:c r="F178" s="31" t="str">
        <x:v>인터넷 연결 단절</x:v>
      </x:c>
      <x:c r="G178" s="31" t="str">
        <x:v>저장·조회·업로드 중 인터넷 연결 차단</x:v>
      </x:c>
      <x:c r="H178" s="31" t="str">
        <x:v>재연결 후 재시도</x:v>
      </x:c>
      <x:c r="I178" s="31" t="str">
        <x:v>입력값을 유지하며 실패와 재시도 경로를 제공한다.</x:v>
      </x:c>
      <x:c r="J178" s="37" t="str">
        <x:v>미실행</x:v>
      </x:c>
      <x:c r="K178" s="37" t="str"/>
      <x:c r="L178" s="31" t="str"/>
      <x:c r="M178" s="31" t="str"/>
      <x:c r="N178" s="31" t="str"/>
      <x:c r="O178" s="40"/>
      <x:c r="P178" s="31" t="str">
        <x:v>기획서 §15</x:v>
      </x:c>
      <x:c r="Q178" s="44" t="str"/>
    </x:row>
    <x:row r="179" ht="54" customHeight="1">
      <x:c r="A179" s="34" t="str">
        <x:v>QA-174</x:v>
      </x:c>
      <x:c r="B179" s="34" t="str">
        <x:v>공통 품질</x:v>
      </x:c>
      <x:c r="C179" s="34" t="str">
        <x:v>모든 사용자·키보드 사용자·모바일 사용자</x:v>
      </x:c>
      <x:c r="D179" s="34" t="str">
        <x:v>중요</x:v>
      </x:c>
      <x:c r="E179" s="34" t="str">
        <x:v>날짜·시간</x:v>
      </x:c>
      <x:c r="F179" s="31" t="str">
        <x:v>한국 시간 날짜 경계</x:v>
      </x:c>
      <x:c r="G179" s="31" t="str">
        <x:v>23:59:59/00:00 결제·모집·수강 데이터</x:v>
      </x:c>
      <x:c r="H179" s="31" t="str">
        <x:v>경계 전후 화면 확인</x:v>
      </x:c>
      <x:c r="I179" s="31" t="str">
        <x:v>한국 시간 기준으로 상태와 월별 계산가 정확히 전환된다.</x:v>
      </x:c>
      <x:c r="J179" s="37" t="str">
        <x:v>미실행</x:v>
      </x:c>
      <x:c r="K179" s="37" t="str"/>
      <x:c r="L179" s="31" t="str"/>
      <x:c r="M179" s="31" t="str"/>
      <x:c r="N179" s="31" t="str"/>
      <x:c r="O179" s="40"/>
      <x:c r="P179" s="31" t="str">
        <x:v>기획서 §15</x:v>
      </x:c>
      <x:c r="Q179" s="44" t="str"/>
    </x:row>
    <x:row r="180" ht="54" customHeight="1">
      <x:c r="A180" s="34" t="str">
        <x:v>QA-175</x:v>
      </x:c>
      <x:c r="B180" s="34" t="str">
        <x:v>공통 품질</x:v>
      </x:c>
      <x:c r="C180" s="34" t="str">
        <x:v>모든 사용자·키보드 사용자·모바일 사용자</x:v>
      </x:c>
      <x:c r="D180" s="34" t="str">
        <x:v>중요</x:v>
      </x:c>
      <x:c r="E180" s="34" t="str">
        <x:v>키보드 사용</x:v>
      </x:c>
      <x:c r="F180" s="31" t="str">
        <x:v>키보드 전체 탐색</x:v>
      </x:c>
      <x:c r="G180" s="31" t="str">
        <x:v>마우스 사용 안 함</x:v>
      </x:c>
      <x:c r="H180" s="31" t="str">
        <x:v>Tab/Shift+Tab/Enter/Space/Esc로 주요 흐름 실행</x:v>
      </x:c>
      <x:c r="I180" s="31" t="str">
        <x:v>초점 순서가 논리적이고 모든 기능을 키보드로 사용할 수 있다.</x:v>
      </x:c>
      <x:c r="J180" s="37" t="str">
        <x:v>미실행</x:v>
      </x:c>
      <x:c r="K180" s="37" t="str"/>
      <x:c r="L180" s="31" t="str"/>
      <x:c r="M180" s="31" t="str"/>
      <x:c r="N180" s="31" t="str"/>
      <x:c r="O180" s="40"/>
      <x:c r="P180" s="31" t="str">
        <x:v>기획서 §15</x:v>
      </x:c>
      <x:c r="Q180" s="44" t="str"/>
    </x:row>
    <x:row r="181" ht="54" customHeight="1">
      <x:c r="A181" s="34" t="str">
        <x:v>QA-176</x:v>
      </x:c>
      <x:c r="B181" s="34" t="str">
        <x:v>공통 품질</x:v>
      </x:c>
      <x:c r="C181" s="34" t="str">
        <x:v>모든 사용자·키보드 사용자·모바일 사용자</x:v>
      </x:c>
      <x:c r="D181" s="34" t="str">
        <x:v>중요</x:v>
      </x:c>
      <x:c r="E181" s="34" t="str">
        <x:v>키보드 사용</x:v>
      </x:c>
      <x:c r="F181" s="31" t="str">
        <x:v>팝업 선택 위치</x:v>
      </x:c>
      <x:c r="G181" s="31" t="str">
        <x:v>확인·삭제·상세 팝업</x:v>
      </x:c>
      <x:c r="H181" s="31" t="str">
        <x:v>팝업 열기, Tab 순환, Esc 닫기</x:v>
      </x:c>
      <x:c r="I181" s="31" t="str">
        <x:v>선택 위치가 내부에 머물고 닫힌 뒤 실행 버튼으로 돌아간다.</x:v>
      </x:c>
      <x:c r="J181" s="37" t="str">
        <x:v>미실행</x:v>
      </x:c>
      <x:c r="K181" s="37" t="str"/>
      <x:c r="L181" s="31" t="str"/>
      <x:c r="M181" s="31" t="str"/>
      <x:c r="N181" s="31" t="str"/>
      <x:c r="O181" s="40"/>
      <x:c r="P181" s="31" t="str">
        <x:v>기획서 §15</x:v>
      </x:c>
      <x:c r="Q181" s="44" t="str"/>
    </x:row>
    <x:row r="182" ht="54" customHeight="1">
      <x:c r="A182" s="34" t="str">
        <x:v>QA-177</x:v>
      </x:c>
      <x:c r="B182" s="34" t="str">
        <x:v>공통 품질</x:v>
      </x:c>
      <x:c r="C182" s="34" t="str">
        <x:v>모든 사용자·키보드 사용자·모바일 사용자</x:v>
      </x:c>
      <x:c r="D182" s="34" t="str">
        <x:v>중요</x:v>
      </x:c>
      <x:c r="E182" s="34" t="str">
        <x:v>키보드 사용</x:v>
      </x:c>
      <x:c r="F182" s="31" t="str">
        <x:v>오류 안내 비색상 의존</x:v>
      </x:c>
      <x:c r="G182" s="31" t="str">
        <x:v>필수값 오류 발생</x:v>
      </x:c>
      <x:c r="H182" s="31" t="str">
        <x:v>시각·키보드로 오류 확인</x:v>
      </x:c>
      <x:c r="I182" s="31" t="str">
        <x:v>색상 외 문구로 오류를 알리고 첫 오류로 선택 위치가 이동한다.</x:v>
      </x:c>
      <x:c r="J182" s="37" t="str">
        <x:v>미실행</x:v>
      </x:c>
      <x:c r="K182" s="37" t="str"/>
      <x:c r="L182" s="31" t="str"/>
      <x:c r="M182" s="31" t="str"/>
      <x:c r="N182" s="31" t="str"/>
      <x:c r="O182" s="40"/>
      <x:c r="P182" s="31" t="str">
        <x:v>기획서 §15</x:v>
      </x:c>
      <x:c r="Q182" s="44" t="str"/>
    </x:row>
    <x:row r="183" ht="54" customHeight="1">
      <x:c r="A183" s="34" t="str">
        <x:v>QA-178</x:v>
      </x:c>
      <x:c r="B183" s="34" t="str">
        <x:v>공통 품질</x:v>
      </x:c>
      <x:c r="C183" s="34" t="str">
        <x:v>모든 사용자·키보드 사용자·모바일 사용자</x:v>
      </x:c>
      <x:c r="D183" s="34" t="str">
        <x:v>중요</x:v>
      </x:c>
      <x:c r="E183" s="34" t="str">
        <x:v>키보드 사용</x:v>
      </x:c>
      <x:c r="F183" s="31" t="str">
        <x:v>폼 이름과 버튼 대체 텍스트</x:v>
      </x:c>
      <x:c r="G183" s="31" t="str">
        <x:v>화면 읽기 기능</x:v>
      </x:c>
      <x:c r="H183" s="31" t="str">
        <x:v>주요 폼·아이콘 버튼 탐색</x:v>
      </x:c>
      <x:c r="I183" s="31" t="str">
        <x:v>용도와 상태를 이해할 수 있는 이름이 제공된다.</x:v>
      </x:c>
      <x:c r="J183" s="37" t="str">
        <x:v>미실행</x:v>
      </x:c>
      <x:c r="K183" s="37" t="str"/>
      <x:c r="L183" s="31" t="str"/>
      <x:c r="M183" s="31" t="str"/>
      <x:c r="N183" s="31" t="str"/>
      <x:c r="O183" s="40"/>
      <x:c r="P183" s="31" t="str">
        <x:v>기획서 §15</x:v>
      </x:c>
      <x:c r="Q183" s="44" t="str"/>
    </x:row>
    <x:row r="184" ht="54" customHeight="1">
      <x:c r="A184" s="34" t="str">
        <x:v>QA-179</x:v>
      </x:c>
      <x:c r="B184" s="34" t="str">
        <x:v>공통 품질</x:v>
      </x:c>
      <x:c r="C184" s="34" t="str">
        <x:v>모든 사용자·키보드 사용자·모바일 사용자</x:v>
      </x:c>
      <x:c r="D184" s="34" t="str">
        <x:v>중요</x:v>
      </x:c>
      <x:c r="E184" s="34" t="str">
        <x:v>화면 크기</x:v>
      </x:c>
      <x:c r="F184" s="31" t="str">
        <x:v>모바일 375px</x:v>
      </x:c>
      <x:c r="G184" s="31" t="str">
        <x:v>모바일 화면 너비</x:v>
      </x:c>
      <x:c r="H184" s="31" t="str">
        <x:v>홈→상세→결제→내 학습, 관리자 핵심 목록 확인</x:v>
      </x:c>
      <x:c r="I184" s="31" t="str">
        <x:v>가로 잘림, 겹침, 클릭 불가와 화면 밖 중요 버튼이 없다.</x:v>
      </x:c>
      <x:c r="J184" s="37" t="str">
        <x:v>미실행</x:v>
      </x:c>
      <x:c r="K184" s="37" t="str"/>
      <x:c r="L184" s="31" t="str"/>
      <x:c r="M184" s="31" t="str"/>
      <x:c r="N184" s="31" t="str"/>
      <x:c r="O184" s="40"/>
      <x:c r="P184" s="31" t="str">
        <x:v>기획서 §15</x:v>
      </x:c>
      <x:c r="Q184" s="44" t="str"/>
    </x:row>
    <x:row r="185" ht="54" customHeight="1">
      <x:c r="A185" s="34" t="str">
        <x:v>QA-180</x:v>
      </x:c>
      <x:c r="B185" s="34" t="str">
        <x:v>공통 품질</x:v>
      </x:c>
      <x:c r="C185" s="34" t="str">
        <x:v>모든 사용자·키보드 사용자·모바일 사용자</x:v>
      </x:c>
      <x:c r="D185" s="34" t="str">
        <x:v>중요</x:v>
      </x:c>
      <x:c r="E185" s="34" t="str">
        <x:v>화면 크기</x:v>
      </x:c>
      <x:c r="F185" s="31" t="str">
        <x:v>태블릿·데스크톱</x:v>
      </x:c>
      <x:c r="G185" s="31" t="str">
        <x:v>768px, 1024px, 1440px</x:v>
      </x:c>
      <x:c r="H185" s="31" t="str">
        <x:v>주요 화면 전환</x:v>
      </x:c>
      <x:c r="I185" s="31" t="str">
        <x:v>화면 너비 전후 레이아웃이 안정적이고 내용이 잘리지 않는다.</x:v>
      </x:c>
      <x:c r="J185" s="37" t="str">
        <x:v>미실행</x:v>
      </x:c>
      <x:c r="K185" s="37" t="str"/>
      <x:c r="L185" s="31" t="str"/>
      <x:c r="M185" s="31" t="str"/>
      <x:c r="N185" s="31" t="str"/>
      <x:c r="O185" s="40"/>
      <x:c r="P185" s="31" t="str">
        <x:v>기획서 §15</x:v>
      </x:c>
      <x:c r="Q185" s="44" t="str"/>
    </x:row>
    <x:row r="186" ht="54" customHeight="1">
      <x:c r="A186" s="34" t="str">
        <x:v>QA-181</x:v>
      </x:c>
      <x:c r="B186" s="34" t="str">
        <x:v>공통 품질</x:v>
      </x:c>
      <x:c r="C186" s="34" t="str">
        <x:v>모든 사용자·키보드 사용자·모바일 사용자</x:v>
      </x:c>
      <x:c r="D186" s="34" t="str">
        <x:v>추가</x:v>
      </x:c>
      <x:c r="E186" s="34" t="str">
        <x:v>브라우저</x:v>
      </x:c>
      <x:c r="F186" s="31" t="str">
        <x:v>주요 브라우저</x:v>
      </x:c>
      <x:c r="G186" s="31" t="str">
        <x:v>Chrome, Safari, Edge 최신 버전</x:v>
      </x:c>
      <x:c r="H186" s="31" t="str">
        <x:v>핵심 구매·수강·관리 흐름 실행</x:v>
      </x:c>
      <x:c r="I186" s="31" t="str">
        <x:v>브라우저별 기능 차이로 핵심 흐름이 중단되지 않는다.</x:v>
      </x:c>
      <x:c r="J186" s="37" t="str">
        <x:v>미실행</x:v>
      </x:c>
      <x:c r="K186" s="37" t="str"/>
      <x:c r="L186" s="31" t="str"/>
      <x:c r="M186" s="31" t="str"/>
      <x:c r="N186" s="31" t="str"/>
      <x:c r="O186" s="40"/>
      <x:c r="P186" s="31" t="str">
        <x:v>기획서 §15</x:v>
      </x:c>
      <x:c r="Q186" s="44" t="str"/>
    </x:row>
    <x:row r="187" ht="54" customHeight="1">
      <x:c r="A187" s="34" t="str">
        <x:v>QA-182</x:v>
      </x:c>
      <x:c r="B187" s="34" t="str">
        <x:v>공통 품질</x:v>
      </x:c>
      <x:c r="C187" s="34" t="str">
        <x:v>모든 사용자·키보드 사용자·모바일 사용자</x:v>
      </x:c>
      <x:c r="D187" s="34" t="str">
        <x:v>중요</x:v>
      </x:c>
      <x:c r="E187" s="34" t="str">
        <x:v>오류 확인</x:v>
      </x:c>
      <x:c r="F187" s="31" t="str">
        <x:v>잘못된 주소</x:v>
      </x:c>
      <x:c r="G187" s="31" t="str">
        <x:v>존재하지 않는 경로/ID</x:v>
      </x:c>
      <x:c r="H187" s="31" t="str">
        <x:v>직접 접속</x:v>
      </x:c>
      <x:c r="I187" s="31" t="str">
        <x:v>민감한 내부 오류를 노출하지 않고 안전한 이동 경로를 제공한다.</x:v>
      </x:c>
      <x:c r="J187" s="37" t="str">
        <x:v>미실행</x:v>
      </x:c>
      <x:c r="K187" s="37" t="str"/>
      <x:c r="L187" s="31" t="str"/>
      <x:c r="M187" s="31" t="str"/>
      <x:c r="N187" s="31" t="str"/>
      <x:c r="O187" s="40"/>
      <x:c r="P187" s="31" t="str">
        <x:v>기획서 §15</x:v>
      </x:c>
      <x:c r="Q187" s="44" t="str"/>
    </x:row>
    <x:row r="188" ht="54" customHeight="1">
      <x:c r="A188" s="34" t="str">
        <x:v>QA-183</x:v>
      </x:c>
      <x:c r="B188" s="34" t="str">
        <x:v>공통 품질</x:v>
      </x:c>
      <x:c r="C188" s="34" t="str">
        <x:v>모든 사용자·키보드 사용자·모바일 사용자</x:v>
      </x:c>
      <x:c r="D188" s="34" t="str">
        <x:v>중요</x:v>
      </x:c>
      <x:c r="E188" s="34" t="str">
        <x:v>오류 없는지</x:v>
      </x:c>
      <x:c r="F188" s="31" t="str">
        <x:v>콘솔·인터넷 연결 오류</x:v>
      </x:c>
      <x:c r="G188" s="31" t="str">
        <x:v>주요 화면</x:v>
      </x:c>
      <x:c r="H188" s="31" t="str">
        <x:v>핵심 흐름 중 개발자 도구의 오류·통신 기록 확인</x:v>
      </x:c>
      <x:c r="I188" s="31" t="str">
        <x:v>예상하지 않은 오류, 무한 재요청과 실패한 필수 정보가 없다.</x:v>
      </x:c>
      <x:c r="J188" s="37" t="str">
        <x:v>미실행</x:v>
      </x:c>
      <x:c r="K188" s="37" t="str"/>
      <x:c r="L188" s="31" t="str"/>
      <x:c r="M188" s="31" t="str"/>
      <x:c r="N188" s="31" t="str"/>
      <x:c r="O188" s="40"/>
      <x:c r="P188" s="31" t="str">
        <x:v>기획서 §15</x:v>
      </x:c>
      <x:c r="Q188" s="44" t="str"/>
    </x:row>
    <x:row r="189" ht="54" customHeight="1">
      <x:c r="A189" s="34" t="str">
        <x:v>QA-184</x:v>
      </x:c>
      <x:c r="B189" s="34" t="str">
        <x:v>공통 품질</x:v>
      </x:c>
      <x:c r="C189" s="34" t="str">
        <x:v>모든 사용자·키보드 사용자·모바일 사용자</x:v>
      </x:c>
      <x:c r="D189" s="34" t="str">
        <x:v>추가</x:v>
      </x:c>
      <x:c r="E189" s="34" t="str">
        <x:v>속도</x:v>
      </x:c>
      <x:c r="F189" s="31" t="str">
        <x:v>첫 화면 사용자가 느끼는 속도</x:v>
      </x:c>
      <x:c r="G189" s="31" t="str">
        <x:v>보통 모바일 인터넷 연결·대량 샘플 데이터</x:v>
      </x:c>
      <x:c r="H189" s="31" t="str">
        <x:v>홈, 내 학습, 관리자 목록의 로딩 측정</x:v>
      </x:c>
      <x:c r="I189" s="31" t="str">
        <x:v>명백한 장시간 빈 화면이나 조작 불능이 없고 기준 초과 항목은 수치와 함께 기록한다.</x:v>
      </x:c>
      <x:c r="J189" s="37" t="str">
        <x:v>미실행</x:v>
      </x:c>
      <x:c r="K189" s="37" t="str"/>
      <x:c r="L189" s="31" t="str"/>
      <x:c r="M189" s="31" t="str"/>
      <x:c r="N189" s="31" t="str"/>
      <x:c r="O189" s="40"/>
      <x:c r="P189" s="31" t="str">
        <x:v>기획서 §15</x:v>
      </x:c>
      <x:c r="Q189" s="44" t="str"/>
    </x:row>
    <x:row r="190" ht="54" customHeight="1">
      <x:c r="A190" s="35" t="str">
        <x:v>QA-185</x:v>
      </x:c>
      <x:c r="B190" s="35" t="str">
        <x:v>공통 품질</x:v>
      </x:c>
      <x:c r="C190" s="35" t="str">
        <x:v>모든 사용자·키보드 사용자·모바일 사용자</x:v>
      </x:c>
      <x:c r="D190" s="35" t="str">
        <x:v>중요</x:v>
      </x:c>
      <x:c r="E190" s="35" t="str">
        <x:v>상태 확인</x:v>
      </x:c>
      <x:c r="F190" s="32" t="str">
        <x:v>새로고침 상태 복구</x:v>
      </x:c>
      <x:c r="G190" s="32" t="str">
        <x:v>필터·탭·상세 등 주요 상태</x:v>
      </x:c>
      <x:c r="H190" s="32" t="str">
        <x:v>새로고침 및 브라우저 뒤로/앞으로</x:v>
      </x:c>
      <x:c r="I190" s="32" t="str">
        <x:v>정책상 유지해야 할 선택 상태가 보존되고 잘못된 화면으로 이동하지 않는다.</x:v>
      </x:c>
      <x:c r="J190" s="38" t="str">
        <x:v>미실행</x:v>
      </x:c>
      <x:c r="K190" s="38" t="str"/>
      <x:c r="L190" s="32" t="str"/>
      <x:c r="M190" s="32" t="str"/>
      <x:c r="N190" s="32" t="str"/>
      <x:c r="O190" s="41"/>
      <x:c r="P190" s="32" t="str">
        <x:v>기획서 §15</x:v>
      </x:c>
      <x:c r="Q190" s="45" t="str"/>
    </x:row>
  </x:sheetData>
  <x:mergeCells>
    <x:mergeCell ref="A1:Q2"/>
    <x:mergeCell ref="A3:Q3"/>
  </x:mergeCells>
  <x:conditionalFormatting sqref="J6:J190">
    <x:cfRule type="containsText" dxfId="0" priority="1" operator="containsText" text="통과"/>
    <x:cfRule type="containsText" dxfId="1" priority="2" operator="containsText" text="실패"/>
    <x:cfRule type="containsText" dxfId="2" priority="3" operator="containsText" text="보류"/>
  </x:conditionalFormatting>
  <x:conditionalFormatting sqref="D6:D190">
    <x:cfRule type="containsText" dxfId="3" priority="4" operator="containsText" text="필수"/>
  </x:conditionalFormatting>
  <x:dataValidations count="3">
    <x:dataValidation type="list" sqref="D6:D190">
      <x:formula1>"필수,중요,추가"</x:formula1>
    </x:dataValidation>
    <x:dataValidation type="list" sqref="J6:J190">
      <x:formula1>"미실행,통과,실패,보류,해당 없음"</x:formula1>
    </x:dataValidation>
    <x:dataValidation type="list" sqref="K6:K190">
      <x:formula1>"매우 심각,심각,보통,가벼움"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4fddf9c32c4d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34" hidden="0" customWidth="1"/>
    <x:col min="5" max="5" width="48" hidden="0" customWidth="1"/>
  </x:cols>
  <x:sheetData>
    <x:row r="1" ht="30" customHeight="1">
      <x:c r="A1" s="4" t="str">
        <x:v>사용자별 확인 관점</x:v>
      </x:c>
      <x:c r="B1" s="4"/>
      <x:c r="C1" s="4"/>
      <x:c r="D1" s="4"/>
      <x:c r="E1" s="4"/>
    </x:row>
    <x:row r="2" ht="30" customHeight="1">
      <x:c r="A2" s="4"/>
      <x:c r="B2" s="4"/>
      <x:c r="C2" s="4"/>
      <x:c r="D2" s="4"/>
      <x:c r="E2" s="4"/>
    </x:row>
    <x:row r="3" ht="34" customHeight="1">
      <x:c r="A3" s="8" t="str">
        <x:v>같은 화면도 로그인 상태와 수강 여부에 따라 다르게 보여야 합니다. 확인을 시작하기 전에 아래 사용자용 계정을 준비하세요.</x:v>
      </x:c>
      <x:c r="B3" s="8"/>
      <x:c r="C3" s="8"/>
      <x:c r="D3" s="8"/>
      <x:c r="E3" s="8"/>
    </x:row>
    <x:row r="5" ht="34" customHeight="1">
      <x:c r="A5" s="20" t="str">
        <x:v>역할 번호</x:v>
      </x:c>
      <x:c r="B5" s="21" t="str">
        <x:v>어떤 사용자?</x:v>
      </x:c>
      <x:c r="C5" s="21" t="str">
        <x:v>로그인 상태</x:v>
      </x:c>
      <x:c r="D5" s="21" t="str">
        <x:v>준비할 상태</x:v>
      </x:c>
      <x:c r="E5" s="22" t="str">
        <x:v>이 사람 입장에서 볼 것</x:v>
      </x:c>
    </x:row>
    <x:row r="6" ht="40" customHeight="1">
      <x:c r="A6" s="53" t="str">
        <x:v>R-01</x:v>
      </x:c>
      <x:c r="B6" s="53" t="str">
        <x:v>비회원(컴퓨터)</x:v>
      </x:c>
      <x:c r="C6" s="53" t="str">
        <x:v>로그아웃</x:v>
      </x:c>
      <x:c r="D6" s="53" t="str">
        <x:v>구매 없음</x:v>
      </x:c>
      <x:c r="E6" s="53" t="str">
        <x:v>홈·크리에이터·클래스 탐색, 로그인 유도, 영상·자료 이용 가능 여부</x:v>
      </x:c>
    </x:row>
    <x:row r="7" ht="40" customHeight="1">
      <x:c r="A7" s="54" t="str">
        <x:v>R-02</x:v>
      </x:c>
      <x:c r="B7" s="54" t="str">
        <x:v>비회원(모바일)</x:v>
      </x:c>
      <x:c r="C7" s="54" t="str">
        <x:v>로그아웃</x:v>
      </x:c>
      <x:c r="D7" s="54" t="str">
        <x:v>구매 없음</x:v>
      </x:c>
      <x:c r="E7" s="54" t="str">
        <x:v>375px 화면 크기에 따른 표시, 터치, 결제 진입</x:v>
      </x:c>
    </x:row>
    <x:row r="8" ht="40" customHeight="1">
      <x:c r="A8" s="54" t="str">
        <x:v>R-03</x:v>
      </x:c>
      <x:c r="B8" s="54" t="str">
        <x:v>로그인·미구매</x:v>
      </x:c>
      <x:c r="C8" s="54" t="str">
        <x:v>카카오 로그인</x:v>
      </x:c>
      <x:c r="D8" s="54" t="str">
        <x:v>구매 없음</x:v>
      </x:c>
      <x:c r="E8" s="54" t="str">
        <x:v>결제 가능 조건, 미구매 콘텐츠 상태</x:v>
      </x:c>
    </x:row>
    <x:row r="9" ht="40" customHeight="1">
      <x:c r="A9" s="54" t="str">
        <x:v>R-04</x:v>
      </x:c>
      <x:c r="B9" s="54" t="str">
        <x:v>수강 대기 사용자</x:v>
      </x:c>
      <x:c r="C9" s="54" t="str">
        <x:v>로그인</x:v>
      </x:c>
      <x:c r="D9" s="54" t="str">
        <x:v>결제 완료·수강 시작 전</x:v>
      </x:c>
      <x:c r="E9" s="54" t="str">
        <x:v>수강 대기 상태와 시작 전 이용 가능 여부</x:v>
      </x:c>
    </x:row>
    <x:row r="10" ht="40" customHeight="1">
      <x:c r="A10" s="54" t="str">
        <x:v>R-05</x:v>
      </x:c>
      <x:c r="B10" s="54" t="str">
        <x:v>수강 중 사용자</x:v>
      </x:c>
      <x:c r="C10" s="54" t="str">
        <x:v>로그인</x:v>
      </x:c>
      <x:c r="D10" s="54" t="str">
        <x:v>현재 강의를 들을 수 있음</x:v>
      </x:c>
      <x:c r="E10" s="54" t="str">
        <x:v>영상·자료·운영 안내·라이브·FAQ</x:v>
      </x:c>
    </x:row>
    <x:row r="11" ht="40" customHeight="1">
      <x:c r="A11" s="54" t="str">
        <x:v>R-06</x:v>
      </x:c>
      <x:c r="B11" s="54" t="str">
        <x:v>수강 종료 사용자</x:v>
      </x:c>
      <x:c r="C11" s="54" t="str">
        <x:v>로그인</x:v>
      </x:c>
      <x:c r="D11" s="54" t="str">
        <x:v>수강 기간 종료</x:v>
      </x:c>
      <x:c r="E11" s="54" t="str">
        <x:v>종료 분류와 콘텐츠 접근 차단</x:v>
      </x:c>
    </x:row>
    <x:row r="12" ht="40" customHeight="1">
      <x:c r="A12" s="54" t="str">
        <x:v>R-07</x:v>
      </x:c>
      <x:c r="B12" s="54" t="str">
        <x:v>다중 클래스 사용자</x:v>
      </x:c>
      <x:c r="C12" s="54" t="str">
        <x:v>로그인</x:v>
      </x:c>
      <x:c r="D12" s="54" t="str">
        <x:v>여러 크리에이터·상태의 클래스 20개+</x:v>
      </x:c>
      <x:c r="E12" s="54" t="str">
        <x:v>통합 FAQ, 강의가 많을 때 목록 속도, 정보가 섞이지 않는지</x:v>
      </x:c>
    </x:row>
    <x:row r="13" ht="40" customHeight="1">
      <x:c r="A13" s="54" t="str">
        <x:v>R-08</x:v>
      </x:c>
      <x:c r="B13" s="54" t="str">
        <x:v>내역 없는 사용자</x:v>
      </x:c>
      <x:c r="C13" s="54" t="str">
        <x:v>로그인</x:v>
      </x:c>
      <x:c r="D13" s="54" t="str">
        <x:v>주문·수강 내역 없음</x:v>
      </x:c>
      <x:c r="E13" s="54" t="str">
        <x:v>내 학습·결제 내역 빈 상태</x:v>
      </x:c>
    </x:row>
    <x:row r="14" ht="40" customHeight="1">
      <x:c r="A14" s="54" t="str">
        <x:v>R-09</x:v>
      </x:c>
      <x:c r="B14" s="54" t="str">
        <x:v>환불 요청 사용자</x:v>
      </x:c>
      <x:c r="C14" s="54" t="str">
        <x:v>로그인</x:v>
      </x:c>
      <x:c r="D14" s="54" t="str">
        <x:v>재생/다운로드 조합과 주문 보유</x:v>
      </x:c>
      <x:c r="E14" s="54" t="str">
        <x:v>상담 연결, 부분·전액 환불 상태</x:v>
      </x:c>
    </x:row>
    <x:row r="15" ht="40" customHeight="1">
      <x:c r="A15" s="54" t="str">
        <x:v>R-10</x:v>
      </x:c>
      <x:c r="B15" s="54" t="str">
        <x:v>신규 크리에이터</x:v>
      </x:c>
      <x:c r="C15" s="54" t="str">
        <x:v>크리에이터 로그인</x:v>
      </x:c>
      <x:c r="D15" s="54" t="str">
        <x:v>콘텐츠·클래스·수강생 없음</x:v>
      </x:c>
      <x:c r="E15" s="54" t="str">
        <x:v>대시보드와 목록 빈 상태, 최초 등록</x:v>
      </x:c>
    </x:row>
    <x:row r="16" ht="40" customHeight="1">
      <x:c r="A16" s="54" t="str">
        <x:v>R-11</x:v>
      </x:c>
      <x:c r="B16" s="54" t="str">
        <x:v>미판매 크리에이터</x:v>
      </x:c>
      <x:c r="C16" s="54" t="str">
        <x:v>크리에이터 로그인</x:v>
      </x:c>
      <x:c r="D16" s="54" t="str">
        <x:v>미연결 콘텐츠·결제 0 클래스</x:v>
      </x:c>
      <x:c r="E16" s="54" t="str">
        <x:v>콘텐츠·클래스 수정/삭제/복제</x:v>
      </x:c>
    </x:row>
    <x:row r="17" ht="40" customHeight="1">
      <x:c r="A17" s="54" t="str">
        <x:v>R-12</x:v>
      </x:c>
      <x:c r="B17" s="54" t="str">
        <x:v>운영 중 크리에이터</x:v>
      </x:c>
      <x:c r="C17" s="54" t="str">
        <x:v>크리에이터 로그인</x:v>
      </x:c>
      <x:c r="D17" s="54" t="str">
        <x:v>연결 콘텐츠·결제 이력 클래스</x:v>
      </x:c>
      <x:c r="E17" s="54" t="str">
        <x:v>수정 제한, 수강생, 매출과 운영 정보</x:v>
      </x:c>
    </x:row>
    <x:row r="18" ht="40" customHeight="1">
      <x:c r="A18" s="54" t="str">
        <x:v>R-13</x:v>
      </x:c>
      <x:c r="B18" s="54" t="str">
        <x:v>정산 담당 크리에이터</x:v>
      </x:c>
      <x:c r="C18" s="54" t="str">
        <x:v>크리에이터 로그인</x:v>
      </x:c>
      <x:c r="D18" s="54" t="str">
        <x:v>월별 결제·취소·부분 환불</x:v>
      </x:c>
      <x:c r="E18" s="54" t="str">
        <x:v>매출 집계와 정산 정보</x:v>
      </x:c>
    </x:row>
    <x:row r="19" ht="40" customHeight="1">
      <x:c r="A19" s="54" t="str">
        <x:v>R-14</x:v>
      </x:c>
      <x:c r="B19" s="54" t="str">
        <x:v>키보드·보조기기 사용자</x:v>
      </x:c>
      <x:c r="C19" s="54" t="str">
        <x:v>각 사용자용 계정</x:v>
      </x:c>
      <x:c r="D19" s="54" t="str">
        <x:v>마우스 미사용</x:v>
      </x:c>
      <x:c r="E19" s="54" t="str">
        <x:v>초점, 항목 이름, 팝업과 오류 접근성</x:v>
      </x:c>
    </x:row>
    <x:row r="20" ht="40" customHeight="1">
      <x:c r="A20" s="55" t="str">
        <x:v>R-15</x:v>
      </x:c>
      <x:c r="B20" s="55" t="str">
        <x:v>다른 사람 정보에 들어가 보는 사용자</x:v>
      </x:c>
      <x:c r="C20" s="55" t="str">
        <x:v>일반 또는 다른 크리에이터 계정</x:v>
      </x:c>
      <x:c r="D20" s="55" t="str">
        <x:v>다른 사람 정보의 구분값을 알고 있음</x:v>
      </x:c>
      <x:c r="E20" s="55" t="str">
        <x:v>주소와 데이터 요청의 접근 여부, 파일 주소와 입력한 코드가 실행되는 문제 방어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782a8629baed45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35" hidden="0" customWidth="1"/>
    <x:col min="5" max="5" width="36" hidden="0" customWidth="1"/>
    <x:col min="6" max="6" width="28" hidden="0" customWidth="1"/>
  </x:cols>
  <x:sheetData>
    <x:row r="1" ht="30" customHeight="1">
      <x:c r="A1" s="4" t="str">
        <x:v>확인용 계정과 자료 준비표</x:v>
      </x:c>
      <x:c r="B1" s="4"/>
      <x:c r="C1" s="4"/>
      <x:c r="D1" s="4"/>
      <x:c r="E1" s="4"/>
      <x:c r="F1" s="4"/>
    </x:row>
    <x:row r="2" ht="30" customHeight="1">
      <x:c r="A2" s="4"/>
      <x:c r="B2" s="4"/>
      <x:c r="C2" s="4"/>
      <x:c r="D2" s="4"/>
      <x:c r="E2" s="4"/>
      <x:c r="F2" s="4"/>
    </x:row>
    <x:row r="3" ht="34" customHeight="1">
      <x:c r="A3" s="8" t="str">
        <x:v>실제 개인정보나 운영 계정은 사용하지 말고, 개발자가 제공한 확인용 계정과 샘플 파일만 사용하세요. 비밀번호는 이 파일에 적지 않습니다.</x:v>
      </x:c>
      <x:c r="B3" s="8"/>
      <x:c r="C3" s="8"/>
      <x:c r="D3" s="8"/>
      <x:c r="E3" s="8"/>
      <x:c r="F3" s="8"/>
    </x:row>
    <x:row r="5" ht="34" customHeight="1">
      <x:c r="A5" s="20" t="str">
        <x:v>준비 번호</x:v>
      </x:c>
      <x:c r="B5" s="21" t="str">
        <x:v>어떤 사용자?</x:v>
      </x:c>
      <x:c r="C5" s="21" t="str">
        <x:v>계정·구분값</x:v>
      </x:c>
      <x:c r="D5" s="21" t="str">
        <x:v>필요한 상태</x:v>
      </x:c>
      <x:c r="E5" s="21" t="str">
        <x:v>미리 준비할 것</x:v>
      </x:c>
      <x:c r="F5" s="22" t="str">
        <x:v>어디에 사용하나요?</x:v>
      </x:c>
    </x:row>
    <x:row r="6" ht="44" customHeight="1">
      <x:c r="A6" s="53" t="str">
        <x:v>TD-01</x:v>
      </x:c>
      <x:c r="B6" s="53" t="str">
        <x:v>비회원</x:v>
      </x:c>
      <x:c r="C6" s="53" t="str">
        <x:v>계정 없음</x:v>
      </x:c>
      <x:c r="D6" s="53" t="str">
        <x:v>공개·모집 중 클래스</x:v>
      </x:c>
      <x:c r="E6" s="53" t="str">
        <x:v>로그아웃 브라우저</x:v>
      </x:c>
      <x:c r="F6" s="53" t="str">
        <x:v>공개 탐색과 로그인 유도</x:v>
      </x:c>
    </x:row>
    <x:row r="7" ht="44" customHeight="1">
      <x:c r="A7" s="54" t="str">
        <x:v>TD-02</x:v>
      </x:c>
      <x:c r="B7" s="54" t="str">
        <x:v>로그인·미구매</x:v>
      </x:c>
      <x:c r="C7" s="54" t="str">
        <x:v>개발자가 제공할 카카오 확인용 계정</x:v>
      </x:c>
      <x:c r="D7" s="54" t="str">
        <x:v>주문·수강 내역 없음</x:v>
      </x:c>
      <x:c r="E7" s="54" t="str">
        <x:v>개인정보는 확인용 정보 사용</x:v>
      </x:c>
      <x:c r="F7" s="54" t="str">
        <x:v>결제 전 이용 가능 여부</x:v>
      </x:c>
    </x:row>
    <x:row r="8" ht="44" customHeight="1">
      <x:c r="A8" s="54" t="str">
        <x:v>TD-03</x:v>
      </x:c>
      <x:c r="B8" s="54" t="str">
        <x:v>수강 대기</x:v>
      </x:c>
      <x:c r="C8" s="54" t="str">
        <x:v>확인용 사용자 A</x:v>
      </x:c>
      <x:c r="D8" s="54" t="str">
        <x:v>결제 완료, 시작일 미래</x:v>
      </x:c>
      <x:c r="E8" s="54" t="str">
        <x:v>지정 기간 클래스</x:v>
      </x:c>
      <x:c r="F8" s="54" t="str">
        <x:v>대기 상태</x:v>
      </x:c>
    </x:row>
    <x:row r="9" ht="44" customHeight="1">
      <x:c r="A9" s="54" t="str">
        <x:v>TD-04</x:v>
      </x:c>
      <x:c r="B9" s="54" t="str">
        <x:v>수강 중</x:v>
      </x:c>
      <x:c r="C9" s="54" t="str">
        <x:v>확인용 사용자 B</x:v>
      </x:c>
      <x:c r="D9" s="54" t="str">
        <x:v>결제 완료, 현재 기간 안</x:v>
      </x:c>
      <x:c r="E9" s="54" t="str">
        <x:v>미재생/재생 중/완료 영상 포함</x:v>
      </x:c>
      <x:c r="F9" s="54" t="str">
        <x:v>학습 상태</x:v>
      </x:c>
    </x:row>
    <x:row r="10" ht="44" customHeight="1">
      <x:c r="A10" s="54" t="str">
        <x:v>TD-05</x:v>
      </x:c>
      <x:c r="B10" s="54" t="str">
        <x:v>수강 종료</x:v>
      </x:c>
      <x:c r="C10" s="54" t="str">
        <x:v>확인용 사용자 C</x:v>
      </x:c>
      <x:c r="D10" s="54" t="str">
        <x:v>종료일 과거</x:v>
      </x:c>
      <x:c r="E10" s="54" t="str">
        <x:v>재생·다운로드 이력 존재</x:v>
      </x:c>
      <x:c r="F10" s="54" t="str">
        <x:v>종료 접근</x:v>
      </x:c>
    </x:row>
    <x:row r="11" ht="44" customHeight="1">
      <x:c r="A11" s="54" t="str">
        <x:v>TD-06</x:v>
      </x:c>
      <x:c r="B11" s="54" t="str">
        <x:v>다중 클래스</x:v>
      </x:c>
      <x:c r="C11" s="54" t="str">
        <x:v>확인용 사용자 D</x:v>
      </x:c>
      <x:c r="D11" s="54" t="str">
        <x:v>20개 이상 클래스</x:v>
      </x:c>
      <x:c r="E11" s="54" t="str">
        <x:v>여러 크리에이터와 상태 혼합</x:v>
      </x:c>
      <x:c r="F11" s="54" t="str">
        <x:v>검색과 강의가 많을 때 속도</x:v>
      </x:c>
    </x:row>
    <x:row r="12" ht="44" customHeight="1">
      <x:c r="A12" s="54" t="str">
        <x:v>TD-07</x:v>
      </x:c>
      <x:c r="B12" s="54" t="str">
        <x:v>환불</x:v>
      </x:c>
      <x:c r="C12" s="54" t="str">
        <x:v>확인용 사용자 E</x:v>
      </x:c>
      <x:c r="D12" s="54" t="str">
        <x:v>미사용/영상 재생/자료 다운로드 주문</x:v>
      </x:c>
      <x:c r="E12" s="54" t="str">
        <x:v>전액·부분 환불 시나리오</x:v>
      </x:c>
      <x:c r="F12" s="54" t="str">
        <x:v>환불 정책</x:v>
      </x:c>
    </x:row>
    <x:row r="13" ht="44" customHeight="1">
      <x:c r="A13" s="54" t="str">
        <x:v>TD-08</x:v>
      </x:c>
      <x:c r="B13" s="54" t="str">
        <x:v>신규 크리에이터</x:v>
      </x:c>
      <x:c r="C13" s="54" t="str">
        <x:v>확인용 크리에이터 A</x:v>
      </x:c>
      <x:c r="D13" s="54" t="str">
        <x:v>모든 목록 0건</x:v>
      </x:c>
      <x:c r="E13" s="54" t="str">
        <x:v>별도의 크리에이터 페이지</x:v>
      </x:c>
      <x:c r="F13" s="54" t="str">
        <x:v>빈 상태</x:v>
      </x:c>
    </x:row>
    <x:row r="14" ht="44" customHeight="1">
      <x:c r="A14" s="54" t="str">
        <x:v>TD-09</x:v>
      </x:c>
      <x:c r="B14" s="54" t="str">
        <x:v>미판매 크리에이터</x:v>
      </x:c>
      <x:c r="C14" s="54" t="str">
        <x:v>확인용 크리에이터 B</x:v>
      </x:c>
      <x:c r="D14" s="54" t="str">
        <x:v>미연결 콘텐츠와 결제 0 클래스</x:v>
      </x:c>
      <x:c r="E14" s="54" t="str">
        <x:v>삭제 가능한 데이터</x:v>
      </x:c>
      <x:c r="F14" s="54" t="str">
        <x:v>등록·조회·수정·삭제</x:v>
      </x:c>
    </x:row>
    <x:row r="15" ht="44" customHeight="1">
      <x:c r="A15" s="54" t="str">
        <x:v>TD-10</x:v>
      </x:c>
      <x:c r="B15" s="54" t="str">
        <x:v>운영 크리에이터</x:v>
      </x:c>
      <x:c r="C15" s="54" t="str">
        <x:v>확인용 크리에이터 C</x:v>
      </x:c>
      <x:c r="D15" s="54" t="str">
        <x:v>연결 콘텐츠, 결제 이력, 수강생 21명+</x:v>
      </x:c>
      <x:c r="E15" s="54" t="str">
        <x:v>다른 크리에이터의 정보와 섞이지 않음</x:v>
      </x:c>
      <x:c r="F15" s="54" t="str">
        <x:v>수정 제한·목록 넘기기·매출</x:v>
      </x:c>
    </x:row>
    <x:row r="16" ht="44" customHeight="1">
      <x:c r="A16" s="54" t="str">
        <x:v>TD-11</x:v>
      </x:c>
      <x:c r="B16" s="54" t="str">
        <x:v>월 경계 주문</x:v>
      </x:c>
      <x:c r="C16" s="54" t="str">
        <x:v>확인용 사용자 F</x:v>
      </x:c>
      <x:c r="D16" s="54" t="str">
        <x:v>월말 23:59:59, 월초 00:00:00</x:v>
      </x:c>
      <x:c r="E16" s="54" t="str">
        <x:v>한국 시간 기준</x:v>
      </x:c>
      <x:c r="F16" s="54" t="str">
        <x:v>매출 기간</x:v>
      </x:c>
    </x:row>
    <x:row r="17" ht="44" customHeight="1">
      <x:c r="A17" s="55" t="str">
        <x:v>TD-12</x:v>
      </x:c>
      <x:c r="B17" s="55" t="str">
        <x:v>파일</x:v>
      </x:c>
      <x:c r="C17" s="55" t="str">
        <x:v>확인용 파일 모음</x:v>
      </x:c>
      <x:c r="D17" s="55" t="str">
        <x:v>올릴 수 있는 파일과 없는 파일, 허용 최대 용량과 더 큰 파일, 손상 영상</x:v>
      </x:c>
      <x:c r="E17" s="55" t="str">
        <x:v>실데이터·개인정보 금지</x:v>
      </x:c>
      <x:c r="F17" s="55" t="str">
        <x:v>파일 올리기 확인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26740520abe747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2" hidden="0" customWidth="1"/>
    <x:col min="4" max="4" width="42" hidden="0" customWidth="1"/>
    <x:col min="5" max="5" width="42" hidden="0" customWidth="1"/>
    <x:col min="6" max="6" width="44" hidden="0" customWidth="1"/>
    <x:col min="7" max="7" width="24" hidden="0" customWidth="1"/>
    <x:col min="8" max="8" width="12" hidden="0" customWidth="1"/>
    <x:col min="9" max="9" width="10" hidden="0" customWidth="1"/>
    <x:col min="10" max="10" width="12" hidden="0" customWidth="1"/>
    <x:col min="11" max="11" width="14" hidden="0" customWidth="1"/>
    <x:col min="12" max="12" width="14" hidden="0" customWidth="1"/>
    <x:col min="13" max="13" width="25" hidden="0" customWidth="1"/>
    <x:col min="14" max="14" width="30" hidden="0" customWidth="1"/>
  </x:cols>
  <x:sheetData>
    <x:row r="1" ht="30" customHeight="1">
      <x:c r="A1" s="4" t="str">
        <x:v>발견한 문제 기록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34" customHeight="1">
      <x:c r="A3" s="8" t="str">
        <x:v>확인 결과가 실패라면 어떤 문제가 있었는지, 어떻게 다시 볼 수 있는지와 스크린샷을 적어 주세요. 큰 문제는 바로 개발자에게 알려 주세요.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34" customHeight="1">
      <x:c r="A5" s="20" t="str">
        <x:v>문제 번호</x:v>
      </x:c>
      <x:c r="B5" s="21" t="str">
        <x:v>연결된 확인 번호</x:v>
      </x:c>
      <x:c r="C5" s="21" t="str">
        <x:v>한 줄 요약</x:v>
      </x:c>
      <x:c r="D5" s="21" t="str">
        <x:v>문제 상황</x:v>
      </x:c>
      <x:c r="E5" s="21" t="str">
        <x:v>원래 되어야 하는 모습</x:v>
      </x:c>
      <x:c r="F5" s="21" t="str">
        <x:v>다시 보는 방법</x:v>
      </x:c>
      <x:c r="G5" s="21" t="str">
        <x:v>사용 환경</x:v>
      </x:c>
      <x:c r="H5" s="21" t="str">
        <x:v>문제 크기</x:v>
      </x:c>
      <x:c r="I5" s="21" t="str">
        <x:v>수정 순서</x:v>
      </x:c>
      <x:c r="J5" s="21" t="str">
        <x:v>진행 상태</x:v>
      </x:c>
      <x:c r="K5" s="21" t="str">
        <x:v>담당자</x:v>
      </x:c>
      <x:c r="L5" s="21" t="str">
        <x:v>등록일</x:v>
      </x:c>
      <x:c r="M5" s="21" t="str">
        <x:v>스크린샷·링크</x:v>
      </x:c>
      <x:c r="N5" s="22" t="str">
        <x:v>메모</x:v>
      </x:c>
    </x:row>
    <x:row r="6" ht="48" customHeight="1">
      <x:c r="A6" s="30" t="str">
        <x:v>BUG-001</x:v>
      </x:c>
      <x:c r="B6" s="30" t="str"/>
      <x:c r="C6" s="30" t="str"/>
      <x:c r="D6" s="30" t="str"/>
      <x:c r="E6" s="30" t="str"/>
      <x:c r="F6" s="30" t="str"/>
      <x:c r="G6" s="30" t="str"/>
      <x:c r="H6" s="30" t="str"/>
      <x:c r="I6" s="30" t="str"/>
      <x:c r="J6" s="30" t="str">
        <x:v>신규</x:v>
      </x:c>
      <x:c r="K6" s="30" t="str"/>
      <x:c r="L6" s="39"/>
      <x:c r="M6" s="30" t="str"/>
      <x:c r="N6" s="30" t="str"/>
    </x:row>
    <x:row r="7" ht="48" customHeight="1">
      <x:c r="A7" s="31" t="str">
        <x:v>BUG-002</x:v>
      </x:c>
      <x:c r="B7" s="31" t="str"/>
      <x:c r="C7" s="31" t="str"/>
      <x:c r="D7" s="31" t="str"/>
      <x:c r="E7" s="31" t="str"/>
      <x:c r="F7" s="31" t="str"/>
      <x:c r="G7" s="31" t="str"/>
      <x:c r="H7" s="31" t="str"/>
      <x:c r="I7" s="31" t="str"/>
      <x:c r="J7" s="31" t="str">
        <x:v>신규</x:v>
      </x:c>
      <x:c r="K7" s="31" t="str"/>
      <x:c r="L7" s="40"/>
      <x:c r="M7" s="31" t="str"/>
      <x:c r="N7" s="31" t="str"/>
    </x:row>
    <x:row r="8" ht="48" customHeight="1">
      <x:c r="A8" s="31" t="str">
        <x:v>BUG-003</x:v>
      </x:c>
      <x:c r="B8" s="31" t="str"/>
      <x:c r="C8" s="31" t="str"/>
      <x:c r="D8" s="31" t="str"/>
      <x:c r="E8" s="31" t="str"/>
      <x:c r="F8" s="31" t="str"/>
      <x:c r="G8" s="31" t="str"/>
      <x:c r="H8" s="31" t="str"/>
      <x:c r="I8" s="31" t="str"/>
      <x:c r="J8" s="31" t="str">
        <x:v>신규</x:v>
      </x:c>
      <x:c r="K8" s="31" t="str"/>
      <x:c r="L8" s="40"/>
      <x:c r="M8" s="31" t="str"/>
      <x:c r="N8" s="31" t="str"/>
    </x:row>
    <x:row r="9" ht="48" customHeight="1">
      <x:c r="A9" s="31" t="str">
        <x:v>BUG-004</x:v>
      </x:c>
      <x:c r="B9" s="31" t="str"/>
      <x:c r="C9" s="31" t="str"/>
      <x:c r="D9" s="31" t="str"/>
      <x:c r="E9" s="31" t="str"/>
      <x:c r="F9" s="31" t="str"/>
      <x:c r="G9" s="31" t="str"/>
      <x:c r="H9" s="31" t="str"/>
      <x:c r="I9" s="31" t="str"/>
      <x:c r="J9" s="31" t="str">
        <x:v>신규</x:v>
      </x:c>
      <x:c r="K9" s="31" t="str"/>
      <x:c r="L9" s="40"/>
      <x:c r="M9" s="31" t="str"/>
      <x:c r="N9" s="31" t="str"/>
    </x:row>
    <x:row r="10" ht="48" customHeight="1">
      <x:c r="A10" s="31" t="str">
        <x:v>BUG-005</x:v>
      </x:c>
      <x:c r="B10" s="31" t="str"/>
      <x:c r="C10" s="31" t="str"/>
      <x:c r="D10" s="31" t="str"/>
      <x:c r="E10" s="31" t="str"/>
      <x:c r="F10" s="31" t="str"/>
      <x:c r="G10" s="31" t="str"/>
      <x:c r="H10" s="31" t="str"/>
      <x:c r="I10" s="31" t="str"/>
      <x:c r="J10" s="31" t="str">
        <x:v>신규</x:v>
      </x:c>
      <x:c r="K10" s="31" t="str"/>
      <x:c r="L10" s="40"/>
      <x:c r="M10" s="31" t="str"/>
      <x:c r="N10" s="31" t="str"/>
    </x:row>
    <x:row r="11" ht="48" customHeight="1">
      <x:c r="A11" s="31" t="str">
        <x:v>BUG-006</x:v>
      </x:c>
      <x:c r="B11" s="31" t="str"/>
      <x:c r="C11" s="31" t="str"/>
      <x:c r="D11" s="31" t="str"/>
      <x:c r="E11" s="31" t="str"/>
      <x:c r="F11" s="31" t="str"/>
      <x:c r="G11" s="31" t="str"/>
      <x:c r="H11" s="31" t="str"/>
      <x:c r="I11" s="31" t="str"/>
      <x:c r="J11" s="31" t="str">
        <x:v>신규</x:v>
      </x:c>
      <x:c r="K11" s="31" t="str"/>
      <x:c r="L11" s="40"/>
      <x:c r="M11" s="31" t="str"/>
      <x:c r="N11" s="31" t="str"/>
    </x:row>
    <x:row r="12" ht="48" customHeight="1">
      <x:c r="A12" s="31" t="str">
        <x:v>BUG-007</x:v>
      </x:c>
      <x:c r="B12" s="31" t="str"/>
      <x:c r="C12" s="31" t="str"/>
      <x:c r="D12" s="31" t="str"/>
      <x:c r="E12" s="31" t="str"/>
      <x:c r="F12" s="31" t="str"/>
      <x:c r="G12" s="31" t="str"/>
      <x:c r="H12" s="31" t="str"/>
      <x:c r="I12" s="31" t="str"/>
      <x:c r="J12" s="31" t="str">
        <x:v>신규</x:v>
      </x:c>
      <x:c r="K12" s="31" t="str"/>
      <x:c r="L12" s="40"/>
      <x:c r="M12" s="31" t="str"/>
      <x:c r="N12" s="31" t="str"/>
    </x:row>
    <x:row r="13" ht="48" customHeight="1">
      <x:c r="A13" s="31" t="str">
        <x:v>BUG-008</x:v>
      </x:c>
      <x:c r="B13" s="31" t="str"/>
      <x:c r="C13" s="31" t="str"/>
      <x:c r="D13" s="31" t="str"/>
      <x:c r="E13" s="31" t="str"/>
      <x:c r="F13" s="31" t="str"/>
      <x:c r="G13" s="31" t="str"/>
      <x:c r="H13" s="31" t="str"/>
      <x:c r="I13" s="31" t="str"/>
      <x:c r="J13" s="31" t="str">
        <x:v>신규</x:v>
      </x:c>
      <x:c r="K13" s="31" t="str"/>
      <x:c r="L13" s="40"/>
      <x:c r="M13" s="31" t="str"/>
      <x:c r="N13" s="31" t="str"/>
    </x:row>
    <x:row r="14" ht="48" customHeight="1">
      <x:c r="A14" s="31" t="str">
        <x:v>BUG-009</x:v>
      </x:c>
      <x:c r="B14" s="31" t="str"/>
      <x:c r="C14" s="31" t="str"/>
      <x:c r="D14" s="31" t="str"/>
      <x:c r="E14" s="31" t="str"/>
      <x:c r="F14" s="31" t="str"/>
      <x:c r="G14" s="31" t="str"/>
      <x:c r="H14" s="31" t="str"/>
      <x:c r="I14" s="31" t="str"/>
      <x:c r="J14" s="31" t="str">
        <x:v>신규</x:v>
      </x:c>
      <x:c r="K14" s="31" t="str"/>
      <x:c r="L14" s="40"/>
      <x:c r="M14" s="31" t="str"/>
      <x:c r="N14" s="31" t="str"/>
    </x:row>
    <x:row r="15" ht="48" customHeight="1">
      <x:c r="A15" s="31" t="str">
        <x:v>BUG-010</x:v>
      </x:c>
      <x:c r="B15" s="31" t="str"/>
      <x:c r="C15" s="31" t="str"/>
      <x:c r="D15" s="31" t="str"/>
      <x:c r="E15" s="31" t="str"/>
      <x:c r="F15" s="31" t="str"/>
      <x:c r="G15" s="31" t="str"/>
      <x:c r="H15" s="31" t="str"/>
      <x:c r="I15" s="31" t="str"/>
      <x:c r="J15" s="31" t="str">
        <x:v>신규</x:v>
      </x:c>
      <x:c r="K15" s="31" t="str"/>
      <x:c r="L15" s="40"/>
      <x:c r="M15" s="31" t="str"/>
      <x:c r="N15" s="31" t="str"/>
    </x:row>
    <x:row r="16" ht="48" customHeight="1">
      <x:c r="A16" s="31" t="str">
        <x:v>BUG-011</x:v>
      </x:c>
      <x:c r="B16" s="31" t="str"/>
      <x:c r="C16" s="31" t="str"/>
      <x:c r="D16" s="31" t="str"/>
      <x:c r="E16" s="31" t="str"/>
      <x:c r="F16" s="31" t="str"/>
      <x:c r="G16" s="31" t="str"/>
      <x:c r="H16" s="31" t="str"/>
      <x:c r="I16" s="31" t="str"/>
      <x:c r="J16" s="31" t="str">
        <x:v>신규</x:v>
      </x:c>
      <x:c r="K16" s="31" t="str"/>
      <x:c r="L16" s="40"/>
      <x:c r="M16" s="31" t="str"/>
      <x:c r="N16" s="31" t="str"/>
    </x:row>
    <x:row r="17" ht="48" customHeight="1">
      <x:c r="A17" s="31" t="str">
        <x:v>BUG-012</x:v>
      </x:c>
      <x:c r="B17" s="31" t="str"/>
      <x:c r="C17" s="31" t="str"/>
      <x:c r="D17" s="31" t="str"/>
      <x:c r="E17" s="31" t="str"/>
      <x:c r="F17" s="31" t="str"/>
      <x:c r="G17" s="31" t="str"/>
      <x:c r="H17" s="31" t="str"/>
      <x:c r="I17" s="31" t="str"/>
      <x:c r="J17" s="31" t="str">
        <x:v>신규</x:v>
      </x:c>
      <x:c r="K17" s="31" t="str"/>
      <x:c r="L17" s="40"/>
      <x:c r="M17" s="31" t="str"/>
      <x:c r="N17" s="31" t="str"/>
    </x:row>
    <x:row r="18" ht="48" customHeight="1">
      <x:c r="A18" s="31" t="str">
        <x:v>BUG-013</x:v>
      </x:c>
      <x:c r="B18" s="31" t="str"/>
      <x:c r="C18" s="31" t="str"/>
      <x:c r="D18" s="31" t="str"/>
      <x:c r="E18" s="31" t="str"/>
      <x:c r="F18" s="31" t="str"/>
      <x:c r="G18" s="31" t="str"/>
      <x:c r="H18" s="31" t="str"/>
      <x:c r="I18" s="31" t="str"/>
      <x:c r="J18" s="31" t="str">
        <x:v>신규</x:v>
      </x:c>
      <x:c r="K18" s="31" t="str"/>
      <x:c r="L18" s="40"/>
      <x:c r="M18" s="31" t="str"/>
      <x:c r="N18" s="31" t="str"/>
    </x:row>
    <x:row r="19" ht="48" customHeight="1">
      <x:c r="A19" s="31" t="str">
        <x:v>BUG-014</x:v>
      </x:c>
      <x:c r="B19" s="31" t="str"/>
      <x:c r="C19" s="31" t="str"/>
      <x:c r="D19" s="31" t="str"/>
      <x:c r="E19" s="31" t="str"/>
      <x:c r="F19" s="31" t="str"/>
      <x:c r="G19" s="31" t="str"/>
      <x:c r="H19" s="31" t="str"/>
      <x:c r="I19" s="31" t="str"/>
      <x:c r="J19" s="31" t="str">
        <x:v>신규</x:v>
      </x:c>
      <x:c r="K19" s="31" t="str"/>
      <x:c r="L19" s="40"/>
      <x:c r="M19" s="31" t="str"/>
      <x:c r="N19" s="31" t="str"/>
    </x:row>
    <x:row r="20" ht="48" customHeight="1">
      <x:c r="A20" s="31" t="str">
        <x:v>BUG-015</x:v>
      </x:c>
      <x:c r="B20" s="31" t="str"/>
      <x:c r="C20" s="31" t="str"/>
      <x:c r="D20" s="31" t="str"/>
      <x:c r="E20" s="31" t="str"/>
      <x:c r="F20" s="31" t="str"/>
      <x:c r="G20" s="31" t="str"/>
      <x:c r="H20" s="31" t="str"/>
      <x:c r="I20" s="31" t="str"/>
      <x:c r="J20" s="31" t="str">
        <x:v>신규</x:v>
      </x:c>
      <x:c r="K20" s="31" t="str"/>
      <x:c r="L20" s="40"/>
      <x:c r="M20" s="31" t="str"/>
      <x:c r="N20" s="31" t="str"/>
    </x:row>
    <x:row r="21" ht="48" customHeight="1">
      <x:c r="A21" s="31" t="str">
        <x:v>BUG-016</x:v>
      </x:c>
      <x:c r="B21" s="31" t="str"/>
      <x:c r="C21" s="31" t="str"/>
      <x:c r="D21" s="31" t="str"/>
      <x:c r="E21" s="31" t="str"/>
      <x:c r="F21" s="31" t="str"/>
      <x:c r="G21" s="31" t="str"/>
      <x:c r="H21" s="31" t="str"/>
      <x:c r="I21" s="31" t="str"/>
      <x:c r="J21" s="31" t="str">
        <x:v>신규</x:v>
      </x:c>
      <x:c r="K21" s="31" t="str"/>
      <x:c r="L21" s="40"/>
      <x:c r="M21" s="31" t="str"/>
      <x:c r="N21" s="31" t="str"/>
    </x:row>
    <x:row r="22" ht="48" customHeight="1">
      <x:c r="A22" s="31" t="str">
        <x:v>BUG-017</x:v>
      </x:c>
      <x:c r="B22" s="31" t="str"/>
      <x:c r="C22" s="31" t="str"/>
      <x:c r="D22" s="31" t="str"/>
      <x:c r="E22" s="31" t="str"/>
      <x:c r="F22" s="31" t="str"/>
      <x:c r="G22" s="31" t="str"/>
      <x:c r="H22" s="31" t="str"/>
      <x:c r="I22" s="31" t="str"/>
      <x:c r="J22" s="31" t="str">
        <x:v>신규</x:v>
      </x:c>
      <x:c r="K22" s="31" t="str"/>
      <x:c r="L22" s="40"/>
      <x:c r="M22" s="31" t="str"/>
      <x:c r="N22" s="31" t="str"/>
    </x:row>
    <x:row r="23" ht="48" customHeight="1">
      <x:c r="A23" s="31" t="str">
        <x:v>BUG-018</x:v>
      </x:c>
      <x:c r="B23" s="31" t="str"/>
      <x:c r="C23" s="31" t="str"/>
      <x:c r="D23" s="31" t="str"/>
      <x:c r="E23" s="31" t="str"/>
      <x:c r="F23" s="31" t="str"/>
      <x:c r="G23" s="31" t="str"/>
      <x:c r="H23" s="31" t="str"/>
      <x:c r="I23" s="31" t="str"/>
      <x:c r="J23" s="31" t="str">
        <x:v>신규</x:v>
      </x:c>
      <x:c r="K23" s="31" t="str"/>
      <x:c r="L23" s="40"/>
      <x:c r="M23" s="31" t="str"/>
      <x:c r="N23" s="31" t="str"/>
    </x:row>
    <x:row r="24" ht="48" customHeight="1">
      <x:c r="A24" s="31" t="str">
        <x:v>BUG-019</x:v>
      </x:c>
      <x:c r="B24" s="31" t="str"/>
      <x:c r="C24" s="31" t="str"/>
      <x:c r="D24" s="31" t="str"/>
      <x:c r="E24" s="31" t="str"/>
      <x:c r="F24" s="31" t="str"/>
      <x:c r="G24" s="31" t="str"/>
      <x:c r="H24" s="31" t="str"/>
      <x:c r="I24" s="31" t="str"/>
      <x:c r="J24" s="31" t="str">
        <x:v>신규</x:v>
      </x:c>
      <x:c r="K24" s="31" t="str"/>
      <x:c r="L24" s="40"/>
      <x:c r="M24" s="31" t="str"/>
      <x:c r="N24" s="31" t="str"/>
    </x:row>
    <x:row r="25" ht="48" customHeight="1">
      <x:c r="A25" s="31" t="str">
        <x:v>BUG-020</x:v>
      </x:c>
      <x:c r="B25" s="31" t="str"/>
      <x:c r="C25" s="31" t="str"/>
      <x:c r="D25" s="31" t="str"/>
      <x:c r="E25" s="31" t="str"/>
      <x:c r="F25" s="31" t="str"/>
      <x:c r="G25" s="31" t="str"/>
      <x:c r="H25" s="31" t="str"/>
      <x:c r="I25" s="31" t="str"/>
      <x:c r="J25" s="31" t="str">
        <x:v>신규</x:v>
      </x:c>
      <x:c r="K25" s="31" t="str"/>
      <x:c r="L25" s="40"/>
      <x:c r="M25" s="31" t="str"/>
      <x:c r="N25" s="31" t="str"/>
    </x:row>
    <x:row r="26" ht="48" customHeight="1">
      <x:c r="A26" s="31" t="str">
        <x:v>BUG-021</x:v>
      </x:c>
      <x:c r="B26" s="31" t="str"/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>
        <x:v>신규</x:v>
      </x:c>
      <x:c r="K26" s="31" t="str"/>
      <x:c r="L26" s="40"/>
      <x:c r="M26" s="31" t="str"/>
      <x:c r="N26" s="31" t="str"/>
    </x:row>
    <x:row r="27" ht="48" customHeight="1">
      <x:c r="A27" s="31" t="str">
        <x:v>BUG-022</x:v>
      </x:c>
      <x:c r="B27" s="31" t="str"/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>
        <x:v>신규</x:v>
      </x:c>
      <x:c r="K27" s="31" t="str"/>
      <x:c r="L27" s="40"/>
      <x:c r="M27" s="31" t="str"/>
      <x:c r="N27" s="31" t="str"/>
    </x:row>
    <x:row r="28" ht="48" customHeight="1">
      <x:c r="A28" s="31" t="str">
        <x:v>BUG-023</x:v>
      </x:c>
      <x:c r="B28" s="31" t="str"/>
      <x:c r="C28" s="31" t="str"/>
      <x:c r="D28" s="31" t="str"/>
      <x:c r="E28" s="31" t="str"/>
      <x:c r="F28" s="31" t="str"/>
      <x:c r="G28" s="31" t="str"/>
      <x:c r="H28" s="31" t="str"/>
      <x:c r="I28" s="31" t="str"/>
      <x:c r="J28" s="31" t="str">
        <x:v>신규</x:v>
      </x:c>
      <x:c r="K28" s="31" t="str"/>
      <x:c r="L28" s="40"/>
      <x:c r="M28" s="31" t="str"/>
      <x:c r="N28" s="31" t="str"/>
    </x:row>
    <x:row r="29" ht="48" customHeight="1">
      <x:c r="A29" s="31" t="str">
        <x:v>BUG-024</x:v>
      </x:c>
      <x:c r="B29" s="31" t="str"/>
      <x:c r="C29" s="31" t="str"/>
      <x:c r="D29" s="31" t="str"/>
      <x:c r="E29" s="31" t="str"/>
      <x:c r="F29" s="31" t="str"/>
      <x:c r="G29" s="31" t="str"/>
      <x:c r="H29" s="31" t="str"/>
      <x:c r="I29" s="31" t="str"/>
      <x:c r="J29" s="31" t="str">
        <x:v>신규</x:v>
      </x:c>
      <x:c r="K29" s="31" t="str"/>
      <x:c r="L29" s="40"/>
      <x:c r="M29" s="31" t="str"/>
      <x:c r="N29" s="31" t="str"/>
    </x:row>
    <x:row r="30" ht="48" customHeight="1">
      <x:c r="A30" s="31" t="str">
        <x:v>BUG-025</x:v>
      </x:c>
      <x:c r="B30" s="31" t="str"/>
      <x:c r="C30" s="31" t="str"/>
      <x:c r="D30" s="31" t="str"/>
      <x:c r="E30" s="31" t="str"/>
      <x:c r="F30" s="31" t="str"/>
      <x:c r="G30" s="31" t="str"/>
      <x:c r="H30" s="31" t="str"/>
      <x:c r="I30" s="31" t="str"/>
      <x:c r="J30" s="31" t="str">
        <x:v>신규</x:v>
      </x:c>
      <x:c r="K30" s="31" t="str"/>
      <x:c r="L30" s="40"/>
      <x:c r="M30" s="31" t="str"/>
      <x:c r="N30" s="31" t="str"/>
    </x:row>
    <x:row r="31" ht="48" customHeight="1">
      <x:c r="A31" s="31" t="str">
        <x:v>BUG-026</x:v>
      </x:c>
      <x:c r="B31" s="31" t="str"/>
      <x:c r="C31" s="31" t="str"/>
      <x:c r="D31" s="31" t="str"/>
      <x:c r="E31" s="31" t="str"/>
      <x:c r="F31" s="31" t="str"/>
      <x:c r="G31" s="31" t="str"/>
      <x:c r="H31" s="31" t="str"/>
      <x:c r="I31" s="31" t="str"/>
      <x:c r="J31" s="31" t="str">
        <x:v>신규</x:v>
      </x:c>
      <x:c r="K31" s="31" t="str"/>
      <x:c r="L31" s="40"/>
      <x:c r="M31" s="31" t="str"/>
      <x:c r="N31" s="31" t="str"/>
    </x:row>
    <x:row r="32" ht="48" customHeight="1">
      <x:c r="A32" s="31" t="str">
        <x:v>BUG-027</x:v>
      </x:c>
      <x:c r="B32" s="31" t="str"/>
      <x:c r="C32" s="31" t="str"/>
      <x:c r="D32" s="31" t="str"/>
      <x:c r="E32" s="31" t="str"/>
      <x:c r="F32" s="31" t="str"/>
      <x:c r="G32" s="31" t="str"/>
      <x:c r="H32" s="31" t="str"/>
      <x:c r="I32" s="31" t="str"/>
      <x:c r="J32" s="31" t="str">
        <x:v>신규</x:v>
      </x:c>
      <x:c r="K32" s="31" t="str"/>
      <x:c r="L32" s="40"/>
      <x:c r="M32" s="31" t="str"/>
      <x:c r="N32" s="31" t="str"/>
    </x:row>
    <x:row r="33" ht="48" customHeight="1">
      <x:c r="A33" s="31" t="str">
        <x:v>BUG-028</x:v>
      </x:c>
      <x:c r="B33" s="31" t="str"/>
      <x:c r="C33" s="31" t="str"/>
      <x:c r="D33" s="31" t="str"/>
      <x:c r="E33" s="31" t="str"/>
      <x:c r="F33" s="31" t="str"/>
      <x:c r="G33" s="31" t="str"/>
      <x:c r="H33" s="31" t="str"/>
      <x:c r="I33" s="31" t="str"/>
      <x:c r="J33" s="31" t="str">
        <x:v>신규</x:v>
      </x:c>
      <x:c r="K33" s="31" t="str"/>
      <x:c r="L33" s="40"/>
      <x:c r="M33" s="31" t="str"/>
      <x:c r="N33" s="31" t="str"/>
    </x:row>
    <x:row r="34" ht="48" customHeight="1">
      <x:c r="A34" s="31" t="str">
        <x:v>BUG-029</x:v>
      </x:c>
      <x:c r="B34" s="31" t="str"/>
      <x:c r="C34" s="31" t="str"/>
      <x:c r="D34" s="31" t="str"/>
      <x:c r="E34" s="31" t="str"/>
      <x:c r="F34" s="31" t="str"/>
      <x:c r="G34" s="31" t="str"/>
      <x:c r="H34" s="31" t="str"/>
      <x:c r="I34" s="31" t="str"/>
      <x:c r="J34" s="31" t="str">
        <x:v>신규</x:v>
      </x:c>
      <x:c r="K34" s="31" t="str"/>
      <x:c r="L34" s="40"/>
      <x:c r="M34" s="31" t="str"/>
      <x:c r="N34" s="31" t="str"/>
    </x:row>
    <x:row r="35" ht="48" customHeight="1">
      <x:c r="A35" s="32" t="str">
        <x:v>BUG-030</x:v>
      </x:c>
      <x:c r="B35" s="32" t="str"/>
      <x:c r="C35" s="32" t="str"/>
      <x:c r="D35" s="32" t="str"/>
      <x:c r="E35" s="32" t="str"/>
      <x:c r="F35" s="32" t="str"/>
      <x:c r="G35" s="32" t="str"/>
      <x:c r="H35" s="32" t="str"/>
      <x:c r="I35" s="32" t="str"/>
      <x:c r="J35" s="32" t="str">
        <x:v>신규</x:v>
      </x:c>
      <x:c r="K35" s="32" t="str"/>
      <x:c r="L35" s="41"/>
      <x:c r="M35" s="32" t="str"/>
      <x:c r="N35" s="32" t="str"/>
    </x:row>
  </x:sheetData>
  <x:mergeCells>
    <x:mergeCell ref="A1:N2"/>
    <x:mergeCell ref="A3:N3"/>
  </x:mergeCells>
  <x:conditionalFormatting sqref="H6:H35">
    <x:cfRule type="containsText" dxfId="4" priority="1" operator="containsText" text="매우 심각"/>
    <x:cfRule type="containsText" dxfId="5" priority="2" operator="containsText" text="심각"/>
  </x:conditionalFormatting>
  <x:conditionalFormatting sqref="J6:J35">
    <x:cfRule type="containsText" dxfId="6" priority="3" operator="containsText" text="완료"/>
  </x:conditionalFormatting>
  <x:dataValidations count="3">
    <x:dataValidation type="list" sqref="H6:H35">
      <x:formula1>"매우 심각,심각,보통,가벼움"</x:formula1>
    </x:dataValidation>
    <x:dataValidation type="list" sqref="I6:I35">
      <x:formula1>"먼저 수정,중요,나중"</x:formula1>
    </x:dataValidation>
    <x:dataValidation type="list" sqref="J6:J35">
      <x:formula1>"신규,확인 중,수정 중,재검증,완료,보류"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175a5e7684458e"/>
  </x:tableParts>
</x:worksheet>
</file>